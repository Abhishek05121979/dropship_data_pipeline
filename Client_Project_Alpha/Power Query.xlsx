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a327d9cb1b398e64/Desktop/Client_Project_Alpha/"/>
    </mc:Choice>
  </mc:AlternateContent>
  <xr:revisionPtr revIDLastSave="1700" documentId="8_{16D2B416-5430-4472-91F3-D784D001C3EB}" xr6:coauthVersionLast="47" xr6:coauthVersionMax="47" xr10:uidLastSave="{FEDDB39A-27E6-4F0D-B737-A0FD76679C73}"/>
  <bookViews>
    <workbookView xWindow="-108" yWindow="-108" windowWidth="23256" windowHeight="12456" firstSheet="1" activeTab="3" xr2:uid="{9C7D5E24-3540-4861-B5C5-83F94751C563}"/>
  </bookViews>
  <sheets>
    <sheet name="Merge3" sheetId="16" state="hidden" r:id="rId1"/>
    <sheet name="Net Profit" sheetId="14" r:id="rId2"/>
    <sheet name="Gross Profit" sheetId="5" r:id="rId3"/>
    <sheet name="DashBoard" sheetId="17" r:id="rId4"/>
    <sheet name="Dashboard_Data" sheetId="10" r:id="rId5"/>
  </sheets>
  <definedNames>
    <definedName name="Average_of_ROAS">Dashboard_Data!$U$4:$U$5</definedName>
    <definedName name="ExternalData_1" localSheetId="0" hidden="1">Merge3!$A$1:$G$44</definedName>
    <definedName name="ExternalData_3" localSheetId="2" hidden="1">'Gross Profit'!$A$1:$L$141</definedName>
    <definedName name="ExternalData_4" localSheetId="1" hidden="1">'Net Profit'!$A$1:$J$44</definedName>
    <definedName name="NativeTimeline_Date">#N/A</definedName>
    <definedName name="Row_Labels">Dashboard_Data!$Q$4:$Q$5</definedName>
    <definedName name="Slicer_Month">#N/A</definedName>
    <definedName name="Sum_of_Net_Profit_Per_Day">Dashboard_Data!$S$4:$S$5</definedName>
    <definedName name="Sum_of_Spend">Dashboard_Data!$T$4:$T$5</definedName>
    <definedName name="Sum_of_Total_Revenue">Dashboard_Data!$R$4:$R$5</definedName>
  </definedNames>
  <calcPr calcId="191029"/>
  <pivotCaches>
    <pivotCache cacheId="105" r:id="rId6"/>
    <pivotCache cacheId="109" r:id="rId7"/>
    <pivotCache cacheId="11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 i="17" l="1"/>
  <c r="AE5" i="17"/>
  <c r="AE3" i="17"/>
  <c r="AE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FEC4AF-E451-4813-99B9-C440667DC6A2}" keepAlive="1" name="Query - Ads_Input" description="Connection to the 'Ads_Input' query in the workbook." type="5" refreshedVersion="0" background="1">
    <dbPr connection="Provider=Microsoft.Mashup.OleDb.1;Data Source=$Workbook$;Location=Ads_Input;Extended Properties=&quot;&quot;" command="SELECT * FROM [Ads_Input]"/>
  </connection>
  <connection id="2" xr16:uid="{F4A3BA2D-80E9-4C6A-BFA6-0E5F96E9AC55}" keepAlive="1" name="Query - Daily Summary" description="Connection to the 'Daily Summary' query in the workbook." type="5" refreshedVersion="0" background="1" saveData="1">
    <dbPr connection="Provider=Microsoft.Mashup.OleDb.1;Data Source=$Workbook$;Location=&quot;Daily Summary&quot;;Extended Properties=&quot;&quot;" command="SELECT * FROM [Daily Summary]"/>
  </connection>
  <connection id="3" xr16:uid="{9AD44E60-5B4A-43F6-B635-21A90073D29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93AA635F-2D31-46AC-983C-3AE36575ED55}"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5" xr16:uid="{B5AED3D1-E04A-4D8B-A75E-D3D2CCA42AA3}" keepAlive="1" name="Query - Merge3" description="Connection to the 'Merge3' query in the workbook." type="5" refreshedVersion="8" background="1" saveData="1">
    <dbPr connection="Provider=Microsoft.Mashup.OleDb.1;Data Source=$Workbook$;Location=Merge3;Extended Properties=&quot;&quot;" command="SELECT * FROM [Merge3]"/>
  </connection>
  <connection id="6" xr16:uid="{9B27A1D8-0798-4BE4-98DC-75E94D117FE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7" xr16:uid="{26D0EAB7-A6E9-4755-9FDA-AA60AEBA6FD4}"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8" xr16:uid="{C94DEE40-0379-4338-B1F4-044A95EA46BE}"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9" xr16:uid="{E132E5D3-A786-402F-9262-A9BC6CABEA04}"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10" xr16:uid="{C55160F6-29DA-4BE9-8CE5-32C8433F6BED}" keepAlive="1" name="Query - Ratio" description="Connection to the 'Ratio' query in the workbook." type="5" refreshedVersion="0" background="1">
    <dbPr connection="Provider=Microsoft.Mashup.OleDb.1;Data Source=$Workbook$;Location=Ratio;Extended Properties=&quot;&quot;" command="SELECT * FROM [Ratio]"/>
  </connection>
  <connection id="11" xr16:uid="{4F6C5DA8-ED21-49B3-B906-169691ECE1D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2" xr16:uid="{BC97B0F1-CF1C-4688-9E61-7A4DF98A5933}"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3" xr16:uid="{F107F060-71B5-48F9-9D45-21ACE998F616}"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4" xr16:uid="{0C3DC4A3-5340-4A70-85FA-BD32BB40612D}"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15" xr16:uid="{E672AB05-0339-4E4F-966E-F5C06E8D1081}" keepAlive="1" name="Query - shipping_costs_april2026" description="Connection to the 'shipping_costs_april2026' query in the workbook." type="5" refreshedVersion="8" saveData="1">
    <dbPr connection="Provider=Microsoft.Mashup.OleDb.1;Data Source=$Workbook$;Location=shipping_costs_april2026;Extended Properties=&quot;&quot;" command="SELECT * FROM [shipping_costs_april2026]"/>
  </connection>
  <connection id="16" xr16:uid="{ABAC6B9B-5267-4568-856C-69581FEAFD62}" keepAlive="1" name="Query - shopify_sales_april2026" description="Connection to the 'shopify_sales_april2026' query in the workbook." type="5" refreshedVersion="0" background="1">
    <dbPr connection="Provider=Microsoft.Mashup.OleDb.1;Data Source=$Workbook$;Location=shopify_sales_april2026;Extended Properties=&quot;&quot;" command="SELECT * FROM [shopify_sales_april2026]"/>
  </connection>
  <connection id="17" xr16:uid="{F135E51C-563F-444D-8D68-11A54919585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8" xr16:uid="{FC3C1512-2177-4426-99BF-4454F79EAC98}"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9" xr16:uid="{EB34B8E9-63BA-4A0B-8E0A-8592E5C90D6E}"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20" xr16:uid="{0BE2B0E0-795F-44B3-9397-54AEF66FA73E}"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21" xr16:uid="{A65730D1-03B8-419E-A122-DD0C4B4919D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2" xr16:uid="{5CABB5F1-0DA2-4D4D-A410-AB20AC61BDD0}"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3" xr16:uid="{5AA626BF-62C1-44A5-89DC-942B5B8196B9}"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24" xr16:uid="{F51D46C6-F19B-4C56-A031-0F29A8A51E14}"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s>
</file>

<file path=xl/sharedStrings.xml><?xml version="1.0" encoding="utf-8"?>
<sst xmlns="http://schemas.openxmlformats.org/spreadsheetml/2006/main" count="996" uniqueCount="178">
  <si>
    <t>Order ID</t>
  </si>
  <si>
    <t>Date</t>
  </si>
  <si>
    <t>Product SKU</t>
  </si>
  <si>
    <t>Quantity</t>
  </si>
  <si>
    <t>Gross Sales</t>
  </si>
  <si>
    <t>Discounts</t>
  </si>
  <si>
    <t>Customer City</t>
  </si>
  <si>
    <t>#1001</t>
  </si>
  <si>
    <t>SKU-C303</t>
  </si>
  <si>
    <t>Hyderabad</t>
  </si>
  <si>
    <t>#1002</t>
  </si>
  <si>
    <t>SKU-B202</t>
  </si>
  <si>
    <t>Jaipur</t>
  </si>
  <si>
    <t>#1003</t>
  </si>
  <si>
    <t>#1004</t>
  </si>
  <si>
    <t>SKU-A101</t>
  </si>
  <si>
    <t>Lucknow</t>
  </si>
  <si>
    <t>#1005</t>
  </si>
  <si>
    <t>Ahmedabad</t>
  </si>
  <si>
    <t>#1006</t>
  </si>
  <si>
    <t>#1007</t>
  </si>
  <si>
    <t>Pune</t>
  </si>
  <si>
    <t>#1008</t>
  </si>
  <si>
    <t>Mumbai</t>
  </si>
  <si>
    <t>#1009</t>
  </si>
  <si>
    <t>Kolkata</t>
  </si>
  <si>
    <t>#1010</t>
  </si>
  <si>
    <t>SKU-E505</t>
  </si>
  <si>
    <t>#1011</t>
  </si>
  <si>
    <t>#1012</t>
  </si>
  <si>
    <t>#1013</t>
  </si>
  <si>
    <t>Chennai</t>
  </si>
  <si>
    <t>#1014</t>
  </si>
  <si>
    <t>#1015</t>
  </si>
  <si>
    <t>Bengaluru</t>
  </si>
  <si>
    <t>#1016</t>
  </si>
  <si>
    <t>#1017</t>
  </si>
  <si>
    <t>#1018</t>
  </si>
  <si>
    <t>Delhi</t>
  </si>
  <si>
    <t>#1019</t>
  </si>
  <si>
    <t>#1020</t>
  </si>
  <si>
    <t>#1021</t>
  </si>
  <si>
    <t>#1022</t>
  </si>
  <si>
    <t>#1023</t>
  </si>
  <si>
    <t>SKU-D404</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</si>
  <si>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</si>
  <si>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</si>
  <si>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</si>
  <si>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</si>
  <si>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</si>
  <si>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</si>
  <si>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</si>
  <si>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</si>
  <si>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</si>
  <si>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</si>
  <si>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</si>
  <si>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</si>
  <si>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</si>
  <si>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</si>
  <si>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</si>
  <si>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</si>
  <si>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</si>
  <si>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</si>
  <si>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</si>
  <si>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</si>
  <si>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</si>
  <si>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</si>
  <si>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</si>
  <si>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</si>
  <si>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</si>
  <si>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</si>
  <si>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</si>
  <si>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</si>
  <si>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</si>
  <si>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</si>
  <si>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</si>
  <si>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</si>
  <si>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</si>
  <si>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</si>
  <si>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</si>
  <si>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</si>
  <si>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</si>
  <si>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</si>
  <si>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</si>
  <si>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</si>
  <si>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</si>
  <si>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</si>
  <si>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</si>
  <si>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</si>
  <si>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</si>
  <si>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</si>
  <si>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</si>
  <si>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</si>
  <si>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</si>
  <si>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</si>
  <si>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</si>
  <si>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</si>
  <si>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</si>
  <si>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</si>
  <si>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</si>
  <si>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</si>
  <si>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</si>
  <si>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</si>
  <si>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</si>
  <si>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</si>
  <si>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</si>
  <si>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</si>
  <si>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</si>
  <si>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</si>
  <si>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</si>
  <si>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</si>
  <si>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</si>
  <si>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</si>
  <si>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</si>
  <si>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</si>
  <si>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</si>
  <si>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</si>
  <si>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</si>
  <si>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</si>
  <si>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</si>
  <si>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</si>
  <si>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</si>
  <si>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Carrier</t>
  </si>
  <si>
    <t>Shipping Fee</t>
  </si>
  <si>
    <t>BlueDart</t>
  </si>
  <si>
    <t>Delhivery</t>
  </si>
  <si>
    <t>Net Profit</t>
  </si>
  <si>
    <t>Row Labels</t>
  </si>
  <si>
    <t>Grand Total</t>
  </si>
  <si>
    <t>Sum of Gross Sales</t>
  </si>
  <si>
    <t>Month</t>
  </si>
  <si>
    <t>April</t>
  </si>
  <si>
    <t>Gross Profit</t>
  </si>
  <si>
    <t>Platform</t>
  </si>
  <si>
    <t>Spend</t>
  </si>
  <si>
    <t>Clicks</t>
  </si>
  <si>
    <t>Expense Per Click</t>
  </si>
  <si>
    <t>Net Profit Per Day</t>
  </si>
  <si>
    <t>Google</t>
  </si>
  <si>
    <t>Meta</t>
  </si>
  <si>
    <t>Sum of Net Profit Per Day</t>
  </si>
  <si>
    <t>Sum of Spend</t>
  </si>
  <si>
    <t>Total Revenue</t>
  </si>
  <si>
    <t>Sum of Total Revenue</t>
  </si>
  <si>
    <t>ROAS</t>
  </si>
  <si>
    <t>Average of ROAS</t>
  </si>
  <si>
    <t>Revenue</t>
  </si>
  <si>
    <t>Ad Spend</t>
  </si>
  <si>
    <t>#1101</t>
  </si>
  <si>
    <t>May</t>
  </si>
  <si>
    <t>#1102</t>
  </si>
  <si>
    <t>#1103</t>
  </si>
  <si>
    <t>#1104</t>
  </si>
  <si>
    <t>#1105</t>
  </si>
  <si>
    <t>#1106</t>
  </si>
  <si>
    <t>#1107</t>
  </si>
  <si>
    <t>#1108</t>
  </si>
  <si>
    <t>#1109</t>
  </si>
  <si>
    <t>#1110</t>
  </si>
  <si>
    <t>#1111</t>
  </si>
  <si>
    <t>#1112</t>
  </si>
  <si>
    <t>#1113</t>
  </si>
  <si>
    <t>#1114</t>
  </si>
  <si>
    <t>#1115</t>
  </si>
  <si>
    <t>#1116</t>
  </si>
  <si>
    <t>#1117</t>
  </si>
  <si>
    <t>#1118</t>
  </si>
  <si>
    <t>#1119</t>
  </si>
  <si>
    <t>#1120</t>
  </si>
  <si>
    <t>Max of Net Profit Per Day</t>
  </si>
  <si>
    <t>Shipping</t>
  </si>
  <si>
    <t>Discount</t>
  </si>
  <si>
    <t>Ads_Input.Month</t>
  </si>
  <si>
    <t>Sum of Net Profit</t>
  </si>
  <si>
    <t>Source.Name</t>
  </si>
  <si>
    <t>shopify_sales_april2026.csv</t>
  </si>
  <si>
    <t/>
  </si>
  <si>
    <t>shopify_sales_may2026.csv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</si>
</sst>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0.00&quot;x&quot;"/>
    <numFmt numFmtId="166" formatCode="_-[$$-409]* #,##0_ ;_-[$$-409]* \-#,##0\ ;_-[$$-409]* &quot;-&quot;??_ ;_-@_ "/>
  </numFmts>
  <fonts count="4" x14ac:knownFonts="1">
    <font>
      <sz val="11"/>
      <color theme="1"/>
      <name val="Aptos Narrow"/>
      <family val="2"/>
      <scheme val="minor"/>
    </font>
    <font>
      <sz val="8"/>
      <name val="Aptos Narrow"/>
      <family val="2"/>
      <scheme val="minor"/>
    </font>
    <font>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rgb="FF4D4D4D"/>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44" fontId="0" fillId="0" borderId="0" xfId="0" applyNumberFormat="1"/>
    <xf numFmtId="164" fontId="0" fillId="0" borderId="0" xfId="0" applyNumberFormat="1"/>
    <xf numFmtId="164" fontId="0" fillId="0" borderId="0" xfId="1" applyNumberFormat="1" applyFont="1"/>
    <xf numFmtId="0" fontId="0" fillId="0" borderId="0" xfId="2" applyNumberFormat="1" applyFont="1"/>
    <xf numFmtId="165" fontId="0" fillId="0" borderId="0" xfId="0" applyNumberFormat="1"/>
    <xf numFmtId="0" fontId="3" fillId="2" borderId="0" xfId="0" applyFont="1" applyFill="1"/>
    <xf numFmtId="165" fontId="3" fillId="2" borderId="0" xfId="0" applyNumberFormat="1" applyFont="1" applyFill="1"/>
    <xf numFmtId="166" fontId="3" fillId="2" borderId="0" xfId="0" applyNumberFormat="1" applyFont="1" applyFill="1"/>
    <xf numFmtId="166" fontId="3" fillId="2" borderId="0" xfId="1" applyNumberFormat="1" applyFont="1" applyFill="1"/>
    <xf numFmtId="0" fontId="0" fillId="0" borderId="0" xfId="0" applyNumberFormat="1"/>
  </cellXfs>
  <cellStyles count="3">
    <cellStyle name="Currency" xfId="1" builtinId="4"/>
    <cellStyle name="Normal" xfId="0" builtinId="0"/>
    <cellStyle name="Percent" xfId="2" builtinId="5"/>
  </cellStyles>
  <dxfs count="27">
    <dxf>
      <numFmt numFmtId="0" formatCode="General"/>
    </dxf>
    <dxf>
      <numFmt numFmtId="164" formatCode="_-[$$-409]* #,##0.00_ ;_-[$$-409]* \-#,##0.00\ ;_-[$$-409]* &quot;-&quot;??_ ;_-@_ "/>
    </dxf>
    <dxf>
      <numFmt numFmtId="164" formatCode="_-[$$-409]* #,##0.00_ ;_-[$$-409]* \-#,##0.00\ ;_-[$$-409]* &quot;-&quot;??_ ;_-@_ "/>
    </dxf>
    <dxf>
      <numFmt numFmtId="0" formatCode="General"/>
    </dxf>
    <dxf>
      <numFmt numFmtId="0" formatCode="General"/>
    </dxf>
    <dxf>
      <numFmt numFmtId="164" formatCode="_-[$$-409]* #,##0.00_ ;_-[$$-409]* \-#,##0.00\ ;_-[$$-409]* &quot;-&quot;??_ ;_-@_ "/>
    </dxf>
    <dxf>
      <numFmt numFmtId="164" formatCode="_-[$$-409]* #,##0.00_ ;_-[$$-409]* \-#,##0.00\ ;_-[$$-409]* &quot;-&quot;??_ ;_-@_ "/>
    </dxf>
    <dxf>
      <numFmt numFmtId="0" formatCode="General"/>
    </dxf>
    <dxf>
      <numFmt numFmtId="19" formatCode="dd/mm/yyyy"/>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164" formatCode="_-[$$-409]* #,##0.00_ ;_-[$$-409]* \-#,##0.00\ ;_-[$$-409]* &quot;-&quot;??_ ;_-@_ "/>
    </dxf>
    <dxf>
      <numFmt numFmtId="0" formatCode="General"/>
    </dxf>
    <dxf>
      <font>
        <b val="0"/>
        <i val="0"/>
        <strike val="0"/>
        <condense val="0"/>
        <extend val="0"/>
        <outline val="0"/>
        <shadow val="0"/>
        <u val="none"/>
        <vertAlign val="baseline"/>
        <sz val="11"/>
        <color theme="1"/>
        <name val="Aptos Narrow"/>
        <family val="2"/>
        <scheme val="minor"/>
      </font>
      <numFmt numFmtId="164" formatCode="_-[$$-409]* #,##0.00_ ;_-[$$-409]* \-#,##0.00\ ;_-[$$-409]* &quot;-&quot;??_ ;_-@_ "/>
    </dxf>
    <dxf>
      <numFmt numFmtId="0" formatCode="General"/>
    </dxf>
    <dxf>
      <font>
        <b val="0"/>
        <i val="0"/>
        <strike val="0"/>
        <condense val="0"/>
        <extend val="0"/>
        <outline val="0"/>
        <shadow val="0"/>
        <u val="none"/>
        <vertAlign val="baseline"/>
        <sz val="11"/>
        <color theme="1"/>
        <name val="Aptos Narrow"/>
        <family val="2"/>
        <scheme val="minor"/>
      </font>
      <numFmt numFmtId="164" formatCode="_-[$$-409]* #,##0.00_ ;_-[$$-409]* \-#,##0.00\ ;_-[$$-409]* &quot;-&quot;??_ ;_-@_ "/>
    </dxf>
    <dxf>
      <font>
        <b val="0"/>
        <i val="0"/>
        <strike val="0"/>
        <condense val="0"/>
        <extend val="0"/>
        <outline val="0"/>
        <shadow val="0"/>
        <u val="none"/>
        <vertAlign val="baseline"/>
        <sz val="11"/>
        <color theme="1"/>
        <name val="Aptos Narrow"/>
        <family val="2"/>
        <scheme val="minor"/>
      </font>
      <numFmt numFmtId="164" formatCode="_-[$$-409]* #,##0.00_ ;_-[$$-409]* \-#,##0.00\ ;_-[$$-409]* &quot;-&quot;??_ ;_-@_ "/>
    </dxf>
    <dxf>
      <numFmt numFmtId="19" formatCode="dd/mm/yyyy"/>
    </dxf>
    <dxf>
      <numFmt numFmtId="0" formatCode="General"/>
    </dxf>
    <dxf>
      <numFmt numFmtId="19" formatCode="dd/mm/yyyy"/>
    </dxf>
    <dxf>
      <numFmt numFmtId="164" formatCode="_-[$$-409]* #,##0.00_ ;_-[$$-409]* \-#,##0.00\ ;_-[$$-409]* &quot;-&quot;??_ ;_-@_ "/>
    </dxf>
    <dxf>
      <numFmt numFmtId="165" formatCode="0.00&quot;x&quot;"/>
    </dxf>
    <dxf>
      <font>
        <sz val="11"/>
        <color theme="1"/>
      </font>
      <fill>
        <patternFill>
          <bgColor theme="2"/>
        </patternFill>
      </fill>
    </dxf>
    <dxf>
      <fill>
        <patternFill patternType="solid">
          <fgColor theme="0"/>
          <bgColor rgb="FF262626"/>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2"/>
        </patternFill>
      </fill>
    </dxf>
    <dxf>
      <fill>
        <patternFill>
          <bgColor rgb="FF262626"/>
        </patternFill>
      </fill>
    </dxf>
  </dxfs>
  <tableStyles count="2" defaultTableStyle="TableStyleMedium2" defaultPivotStyle="PivotStyleLight16">
    <tableStyle name="Slicer Style 1" pivot="0" table="0" count="7" xr9:uid="{18F0DF8B-4B3A-4A25-B26D-DE00B09763D9}">
      <tableStyleElement type="wholeTable" dxfId="26"/>
      <tableStyleElement type="headerRow" dxfId="25"/>
    </tableStyle>
    <tableStyle name="Timeline Style 1" pivot="0" table="0" count="8" xr9:uid="{DF2D1C60-F02B-4A53-AF38-57F203C0E7C7}">
      <tableStyleElement type="wholeTable" dxfId="24"/>
      <tableStyleElement type="headerRow" dxfId="23"/>
    </tableStyle>
  </tableStyles>
  <colors>
    <mruColors>
      <color rgb="FFFFCC00"/>
      <color rgb="FF262626"/>
      <color rgb="FF4D4D4D"/>
      <color rgb="FF333333"/>
    </mruColors>
  </colors>
  <extLst>
    <ext xmlns:x14="http://schemas.microsoft.com/office/spreadsheetml/2009/9/main" uri="{46F421CA-312F-682f-3DD2-61675219B42D}">
      <x14:dxfs count="5">
        <dxf>
          <font>
            <b/>
            <i val="0"/>
          </font>
          <fill>
            <patternFill>
              <bgColor rgb="FFFFC000"/>
            </patternFill>
          </fill>
        </dxf>
        <dxf>
          <font>
            <color rgb="FFFFCC00"/>
          </font>
          <fill>
            <patternFill>
              <bgColor rgb="FF4D4D4D"/>
            </patternFill>
          </fill>
        </dxf>
        <dxf>
          <font>
            <color rgb="FFFFCC00"/>
          </font>
          <fill>
            <patternFill>
              <bgColor rgb="FF262626"/>
            </patternFill>
          </fill>
        </dxf>
        <dxf>
          <font>
            <color theme="1"/>
          </font>
          <fill>
            <patternFill>
              <bgColor rgb="FFFFC000"/>
            </patternFill>
          </fill>
        </dxf>
        <dxf>
          <font>
            <color theme="0"/>
          </font>
          <fill>
            <patternFill>
              <bgColor theme="2" tint="-0.74996185186315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rgb="FFFFC000"/>
            <name val="Aptos Narrow"/>
            <family val="2"/>
            <scheme val="minor"/>
          </font>
        </dxf>
        <dxf>
          <font>
            <sz val="9"/>
            <color rgb="FFFFC000"/>
            <name val="Aptos Narrow"/>
            <family val="2"/>
            <scheme val="minor"/>
          </font>
        </dxf>
        <dxf>
          <font>
            <sz val="9"/>
            <color theme="1" tint="0.499984740745262"/>
          </font>
        </dxf>
        <dxf>
          <font>
            <color rgb="FFFFCC00"/>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Query.xlsx]Dashboard_Data!ROAS</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Dashboard_Data!$N$12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Dashboard_Data!$M$13:$M$43</c:f>
              <c:multiLvlStrCache>
                <c:ptCount val="29"/>
                <c:lvl>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17-04-2026</c:v>
                  </c:pt>
                  <c:pt idx="16">
                    <c:v>18-04-2026</c:v>
                  </c:pt>
                  <c:pt idx="17">
                    <c:v>19-04-2026</c:v>
                  </c:pt>
                  <c:pt idx="18">
                    <c:v>20-04-2026</c:v>
                  </c:pt>
                  <c:pt idx="19">
                    <c:v>21-04-2026</c:v>
                  </c:pt>
                  <c:pt idx="20">
                    <c:v>22-04-2026</c:v>
                  </c:pt>
                  <c:pt idx="21">
                    <c:v>23-04-2026</c:v>
                  </c:pt>
                  <c:pt idx="22">
                    <c:v>24-04-2026</c:v>
                  </c:pt>
                  <c:pt idx="23">
                    <c:v>25-04-2026</c:v>
                  </c:pt>
                  <c:pt idx="24">
                    <c:v>26-04-2026</c:v>
                  </c:pt>
                  <c:pt idx="25">
                    <c:v>27-04-2026</c:v>
                  </c:pt>
                  <c:pt idx="26">
                    <c:v>28-04-2026</c:v>
                  </c:pt>
                  <c:pt idx="27">
                    <c:v>29-04-2026</c:v>
                  </c:pt>
                  <c:pt idx="28">
                    <c:v>30-04-2026</c:v>
                  </c:pt>
                </c:lvl>
                <c:lvl>
                  <c:pt idx="0">
                    <c:v>April</c:v>
                  </c:pt>
                </c:lvl>
              </c:multiLvlStrCache>
            </c:multiLvlStrRef>
          </c:cat>
          <c:val>
            <c:numRef>
              <c:f>Dashboard_Data!$N$13:$N$43</c:f>
              <c:numCache>
                <c:formatCode>0.00"x"</c:formatCode>
                <c:ptCount val="29"/>
                <c:pt idx="0">
                  <c:v>10.01</c:v>
                </c:pt>
                <c:pt idx="1">
                  <c:v>5.65</c:v>
                </c:pt>
                <c:pt idx="2">
                  <c:v>14.65</c:v>
                </c:pt>
                <c:pt idx="3">
                  <c:v>53.47</c:v>
                </c:pt>
                <c:pt idx="4">
                  <c:v>7.85</c:v>
                </c:pt>
                <c:pt idx="5">
                  <c:v>12.05</c:v>
                </c:pt>
                <c:pt idx="6">
                  <c:v>9.58</c:v>
                </c:pt>
                <c:pt idx="7">
                  <c:v>28.42</c:v>
                </c:pt>
                <c:pt idx="8">
                  <c:v>9.8800000000000008</c:v>
                </c:pt>
                <c:pt idx="9">
                  <c:v>4.7300000000000004</c:v>
                </c:pt>
                <c:pt idx="10">
                  <c:v>6.11</c:v>
                </c:pt>
                <c:pt idx="11">
                  <c:v>23.59</c:v>
                </c:pt>
                <c:pt idx="12">
                  <c:v>10.69</c:v>
                </c:pt>
                <c:pt idx="13">
                  <c:v>17.28</c:v>
                </c:pt>
                <c:pt idx="14">
                  <c:v>8.15</c:v>
                </c:pt>
                <c:pt idx="15">
                  <c:v>3.07</c:v>
                </c:pt>
                <c:pt idx="16">
                  <c:v>11.95</c:v>
                </c:pt>
                <c:pt idx="17">
                  <c:v>18.23</c:v>
                </c:pt>
                <c:pt idx="18">
                  <c:v>5.01</c:v>
                </c:pt>
                <c:pt idx="19">
                  <c:v>9.68</c:v>
                </c:pt>
                <c:pt idx="20">
                  <c:v>7.56</c:v>
                </c:pt>
                <c:pt idx="21">
                  <c:v>28.45</c:v>
                </c:pt>
                <c:pt idx="22">
                  <c:v>4.47</c:v>
                </c:pt>
                <c:pt idx="23">
                  <c:v>5.89</c:v>
                </c:pt>
                <c:pt idx="24">
                  <c:v>19.91</c:v>
                </c:pt>
                <c:pt idx="25">
                  <c:v>19.28</c:v>
                </c:pt>
                <c:pt idx="26">
                  <c:v>24.69</c:v>
                </c:pt>
                <c:pt idx="27">
                  <c:v>32.119999999999997</c:v>
                </c:pt>
                <c:pt idx="28">
                  <c:v>2.38</c:v>
                </c:pt>
              </c:numCache>
            </c:numRef>
          </c:val>
          <c:extLst>
            <c:ext xmlns:c16="http://schemas.microsoft.com/office/drawing/2014/chart" uri="{C3380CC4-5D6E-409C-BE32-E72D297353CC}">
              <c16:uniqueId val="{00000000-0617-4B94-AE7A-84F25FFFD9C5}"/>
            </c:ext>
          </c:extLst>
        </c:ser>
        <c:dLbls>
          <c:showLegendKey val="0"/>
          <c:showVal val="0"/>
          <c:showCatName val="0"/>
          <c:showSerName val="0"/>
          <c:showPercent val="0"/>
          <c:showBubbleSize val="0"/>
        </c:dLbls>
        <c:gapWidth val="100"/>
        <c:overlap val="-24"/>
        <c:axId val="2041928592"/>
        <c:axId val="2041913232"/>
      </c:barChart>
      <c:catAx>
        <c:axId val="2041928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13232"/>
        <c:crosses val="autoZero"/>
        <c:auto val="1"/>
        <c:lblAlgn val="ctr"/>
        <c:lblOffset val="100"/>
        <c:noMultiLvlLbl val="0"/>
      </c:catAx>
      <c:valAx>
        <c:axId val="2041913232"/>
        <c:scaling>
          <c:orientation val="minMax"/>
        </c:scaling>
        <c:delete val="0"/>
        <c:axPos val="l"/>
        <c:majorGridlines>
          <c:spPr>
            <a:ln w="9525" cap="flat" cmpd="sng" algn="ctr">
              <a:solidFill>
                <a:schemeClr val="lt1">
                  <a:lumMod val="95000"/>
                  <a:alpha val="10000"/>
                </a:schemeClr>
              </a:solidFill>
              <a:round/>
            </a:ln>
            <a:effectLst/>
          </c:spPr>
        </c:majorGridlines>
        <c:numFmt formatCode="0.00&quot;x&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2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Query.xlsx]Dashboard_Data!PivotTable4</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Dashboard_Data!$B$3</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Dashboard_Data!$A$4:$A$48</c:f>
              <c:multiLvlStrCache>
                <c:ptCount val="42"/>
                <c:lvl>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17-04-2026</c:v>
                  </c:pt>
                  <c:pt idx="16">
                    <c:v>18-04-2026</c:v>
                  </c:pt>
                  <c:pt idx="17">
                    <c:v>19-04-2026</c:v>
                  </c:pt>
                  <c:pt idx="18">
                    <c:v>20-04-2026</c:v>
                  </c:pt>
                  <c:pt idx="19">
                    <c:v>21-04-2026</c:v>
                  </c:pt>
                  <c:pt idx="20">
                    <c:v>22-04-2026</c:v>
                  </c:pt>
                  <c:pt idx="21">
                    <c:v>23-04-2026</c:v>
                  </c:pt>
                  <c:pt idx="22">
                    <c:v>24-04-2026</c:v>
                  </c:pt>
                  <c:pt idx="23">
                    <c:v>25-04-2026</c:v>
                  </c:pt>
                  <c:pt idx="24">
                    <c:v>26-04-2026</c:v>
                  </c:pt>
                  <c:pt idx="25">
                    <c:v>27-04-2026</c:v>
                  </c:pt>
                  <c:pt idx="26">
                    <c:v>28-04-2026</c:v>
                  </c:pt>
                  <c:pt idx="27">
                    <c:v>29-04-2026</c:v>
                  </c:pt>
                  <c:pt idx="28">
                    <c:v>30-04-2026</c:v>
                  </c:pt>
                  <c:pt idx="29">
                    <c:v>03-05-2026</c:v>
                  </c:pt>
                  <c:pt idx="30">
                    <c:v>05-05-2026</c:v>
                  </c:pt>
                  <c:pt idx="31">
                    <c:v>06-05-2026</c:v>
                  </c:pt>
                  <c:pt idx="32">
                    <c:v>07-05-2026</c:v>
                  </c:pt>
                  <c:pt idx="33">
                    <c:v>08-05-2026</c:v>
                  </c:pt>
                  <c:pt idx="34">
                    <c:v>09-05-2026</c:v>
                  </c:pt>
                  <c:pt idx="35">
                    <c:v>13-05-2026</c:v>
                  </c:pt>
                  <c:pt idx="36">
                    <c:v>14-05-2026</c:v>
                  </c:pt>
                  <c:pt idx="37">
                    <c:v>16-05-2026</c:v>
                  </c:pt>
                  <c:pt idx="38">
                    <c:v>17-05-2026</c:v>
                  </c:pt>
                  <c:pt idx="39">
                    <c:v>18-05-2026</c:v>
                  </c:pt>
                  <c:pt idx="40">
                    <c:v>19-05-2026</c:v>
                  </c:pt>
                  <c:pt idx="41">
                    <c:v>20-05-2026</c:v>
                  </c:pt>
                </c:lvl>
                <c:lvl>
                  <c:pt idx="0">
                    <c:v>April</c:v>
                  </c:pt>
                  <c:pt idx="29">
                    <c:v>May</c:v>
                  </c:pt>
                </c:lvl>
              </c:multiLvlStrCache>
            </c:multiLvlStrRef>
          </c:cat>
          <c:val>
            <c:numRef>
              <c:f>Dashboard_Data!$B$4:$B$48</c:f>
              <c:numCache>
                <c:formatCode>_-[$$-409]* #,##0.00_ ;_-[$$-409]* \-#,##0.00\ ;_-[$$-409]* "-"??_ ;_-@_ </c:formatCode>
                <c:ptCount val="42"/>
                <c:pt idx="0">
                  <c:v>780.18</c:v>
                </c:pt>
                <c:pt idx="1">
                  <c:v>556.56999999999994</c:v>
                </c:pt>
                <c:pt idx="2">
                  <c:v>1356.19</c:v>
                </c:pt>
                <c:pt idx="3">
                  <c:v>1428.84</c:v>
                </c:pt>
                <c:pt idx="4">
                  <c:v>701.58999999999992</c:v>
                </c:pt>
                <c:pt idx="5">
                  <c:v>491.77</c:v>
                </c:pt>
                <c:pt idx="6">
                  <c:v>539.9</c:v>
                </c:pt>
                <c:pt idx="7">
                  <c:v>1200.9000000000001</c:v>
                </c:pt>
                <c:pt idx="8">
                  <c:v>857.79000000000008</c:v>
                </c:pt>
                <c:pt idx="9">
                  <c:v>378.2</c:v>
                </c:pt>
                <c:pt idx="10">
                  <c:v>231.85</c:v>
                </c:pt>
                <c:pt idx="11">
                  <c:v>1895.42</c:v>
                </c:pt>
                <c:pt idx="12">
                  <c:v>931.25</c:v>
                </c:pt>
                <c:pt idx="13">
                  <c:v>675.45</c:v>
                </c:pt>
                <c:pt idx="14">
                  <c:v>530.98</c:v>
                </c:pt>
                <c:pt idx="15">
                  <c:v>102.63</c:v>
                </c:pt>
                <c:pt idx="16">
                  <c:v>982.14</c:v>
                </c:pt>
                <c:pt idx="17">
                  <c:v>522.30999999999995</c:v>
                </c:pt>
                <c:pt idx="18">
                  <c:v>331.25</c:v>
                </c:pt>
                <c:pt idx="19">
                  <c:v>923.1</c:v>
                </c:pt>
                <c:pt idx="20">
                  <c:v>509.03999999999996</c:v>
                </c:pt>
                <c:pt idx="21">
                  <c:v>800.85000000000014</c:v>
                </c:pt>
                <c:pt idx="22">
                  <c:v>393.05</c:v>
                </c:pt>
                <c:pt idx="23">
                  <c:v>493.08999999999992</c:v>
                </c:pt>
                <c:pt idx="24">
                  <c:v>951.38999999999987</c:v>
                </c:pt>
                <c:pt idx="25">
                  <c:v>492.12</c:v>
                </c:pt>
                <c:pt idx="26">
                  <c:v>518.72</c:v>
                </c:pt>
                <c:pt idx="27">
                  <c:v>913.39</c:v>
                </c:pt>
                <c:pt idx="28">
                  <c:v>182.28</c:v>
                </c:pt>
                <c:pt idx="29">
                  <c:v>641.46</c:v>
                </c:pt>
                <c:pt idx="30">
                  <c:v>430.6</c:v>
                </c:pt>
                <c:pt idx="31">
                  <c:v>43.29</c:v>
                </c:pt>
                <c:pt idx="32">
                  <c:v>587.65</c:v>
                </c:pt>
                <c:pt idx="33">
                  <c:v>336.61</c:v>
                </c:pt>
                <c:pt idx="34">
                  <c:v>325.44</c:v>
                </c:pt>
                <c:pt idx="35">
                  <c:v>768.81999999999994</c:v>
                </c:pt>
                <c:pt idx="36">
                  <c:v>569.15</c:v>
                </c:pt>
                <c:pt idx="37">
                  <c:v>99.84</c:v>
                </c:pt>
                <c:pt idx="38">
                  <c:v>242.55</c:v>
                </c:pt>
                <c:pt idx="39">
                  <c:v>105.08</c:v>
                </c:pt>
                <c:pt idx="40">
                  <c:v>48.51</c:v>
                </c:pt>
                <c:pt idx="41">
                  <c:v>901.71</c:v>
                </c:pt>
              </c:numCache>
            </c:numRef>
          </c:val>
          <c:extLst>
            <c:ext xmlns:c16="http://schemas.microsoft.com/office/drawing/2014/chart" uri="{C3380CC4-5D6E-409C-BE32-E72D297353CC}">
              <c16:uniqueId val="{00000000-22E4-46B5-8384-90E7FD0BEFB1}"/>
            </c:ext>
          </c:extLst>
        </c:ser>
        <c:dLbls>
          <c:showLegendKey val="0"/>
          <c:showVal val="0"/>
          <c:showCatName val="0"/>
          <c:showSerName val="0"/>
          <c:showPercent val="0"/>
          <c:showBubbleSize val="0"/>
        </c:dLbls>
        <c:gapWidth val="219"/>
        <c:overlap val="-27"/>
        <c:axId val="385036815"/>
        <c:axId val="385037295"/>
      </c:barChart>
      <c:lineChart>
        <c:grouping val="standard"/>
        <c:varyColors val="0"/>
        <c:ser>
          <c:idx val="1"/>
          <c:order val="1"/>
          <c:tx>
            <c:strRef>
              <c:f>Dashboard_Data!$C$3</c:f>
              <c:strCache>
                <c:ptCount val="1"/>
                <c:pt idx="0">
                  <c:v>Ad Spend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Dashboard_Data!$A$4:$A$48</c:f>
              <c:multiLvlStrCache>
                <c:ptCount val="42"/>
                <c:lvl>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17-04-2026</c:v>
                  </c:pt>
                  <c:pt idx="16">
                    <c:v>18-04-2026</c:v>
                  </c:pt>
                  <c:pt idx="17">
                    <c:v>19-04-2026</c:v>
                  </c:pt>
                  <c:pt idx="18">
                    <c:v>20-04-2026</c:v>
                  </c:pt>
                  <c:pt idx="19">
                    <c:v>21-04-2026</c:v>
                  </c:pt>
                  <c:pt idx="20">
                    <c:v>22-04-2026</c:v>
                  </c:pt>
                  <c:pt idx="21">
                    <c:v>23-04-2026</c:v>
                  </c:pt>
                  <c:pt idx="22">
                    <c:v>24-04-2026</c:v>
                  </c:pt>
                  <c:pt idx="23">
                    <c:v>25-04-2026</c:v>
                  </c:pt>
                  <c:pt idx="24">
                    <c:v>26-04-2026</c:v>
                  </c:pt>
                  <c:pt idx="25">
                    <c:v>27-04-2026</c:v>
                  </c:pt>
                  <c:pt idx="26">
                    <c:v>28-04-2026</c:v>
                  </c:pt>
                  <c:pt idx="27">
                    <c:v>29-04-2026</c:v>
                  </c:pt>
                  <c:pt idx="28">
                    <c:v>30-04-2026</c:v>
                  </c:pt>
                  <c:pt idx="29">
                    <c:v>03-05-2026</c:v>
                  </c:pt>
                  <c:pt idx="30">
                    <c:v>05-05-2026</c:v>
                  </c:pt>
                  <c:pt idx="31">
                    <c:v>06-05-2026</c:v>
                  </c:pt>
                  <c:pt idx="32">
                    <c:v>07-05-2026</c:v>
                  </c:pt>
                  <c:pt idx="33">
                    <c:v>08-05-2026</c:v>
                  </c:pt>
                  <c:pt idx="34">
                    <c:v>09-05-2026</c:v>
                  </c:pt>
                  <c:pt idx="35">
                    <c:v>13-05-2026</c:v>
                  </c:pt>
                  <c:pt idx="36">
                    <c:v>14-05-2026</c:v>
                  </c:pt>
                  <c:pt idx="37">
                    <c:v>16-05-2026</c:v>
                  </c:pt>
                  <c:pt idx="38">
                    <c:v>17-05-2026</c:v>
                  </c:pt>
                  <c:pt idx="39">
                    <c:v>18-05-2026</c:v>
                  </c:pt>
                  <c:pt idx="40">
                    <c:v>19-05-2026</c:v>
                  </c:pt>
                  <c:pt idx="41">
                    <c:v>20-05-2026</c:v>
                  </c:pt>
                </c:lvl>
                <c:lvl>
                  <c:pt idx="0">
                    <c:v>April</c:v>
                  </c:pt>
                  <c:pt idx="29">
                    <c:v>May</c:v>
                  </c:pt>
                </c:lvl>
              </c:multiLvlStrCache>
            </c:multiLvlStrRef>
          </c:cat>
          <c:val>
            <c:numRef>
              <c:f>Dashboard_Data!$C$4:$C$48</c:f>
              <c:numCache>
                <c:formatCode>_-[$$-409]* #,##0.00_ ;_-[$$-409]* \-#,##0.00\ ;_-[$$-409]* "-"??_ ;_-@_ </c:formatCode>
                <c:ptCount val="42"/>
                <c:pt idx="0">
                  <c:v>77.930000000000007</c:v>
                </c:pt>
                <c:pt idx="1">
                  <c:v>98.46</c:v>
                </c:pt>
                <c:pt idx="2">
                  <c:v>92.55</c:v>
                </c:pt>
                <c:pt idx="3">
                  <c:v>26.72</c:v>
                </c:pt>
                <c:pt idx="4">
                  <c:v>89.35</c:v>
                </c:pt>
                <c:pt idx="5">
                  <c:v>40.81</c:v>
                </c:pt>
                <c:pt idx="6">
                  <c:v>56.38</c:v>
                </c:pt>
                <c:pt idx="7">
                  <c:v>42.26</c:v>
                </c:pt>
                <c:pt idx="8">
                  <c:v>86.79</c:v>
                </c:pt>
                <c:pt idx="9">
                  <c:v>79.92</c:v>
                </c:pt>
                <c:pt idx="10">
                  <c:v>37.94</c:v>
                </c:pt>
                <c:pt idx="11">
                  <c:v>80.34</c:v>
                </c:pt>
                <c:pt idx="12">
                  <c:v>87.14</c:v>
                </c:pt>
                <c:pt idx="13">
                  <c:v>39.08</c:v>
                </c:pt>
                <c:pt idx="14">
                  <c:v>65.12</c:v>
                </c:pt>
                <c:pt idx="15">
                  <c:v>33.42</c:v>
                </c:pt>
                <c:pt idx="16">
                  <c:v>82.22</c:v>
                </c:pt>
                <c:pt idx="17">
                  <c:v>28.65</c:v>
                </c:pt>
                <c:pt idx="18">
                  <c:v>66.06</c:v>
                </c:pt>
                <c:pt idx="19">
                  <c:v>95.32</c:v>
                </c:pt>
                <c:pt idx="20">
                  <c:v>67.37</c:v>
                </c:pt>
                <c:pt idx="21">
                  <c:v>28.15</c:v>
                </c:pt>
                <c:pt idx="22">
                  <c:v>88.02</c:v>
                </c:pt>
                <c:pt idx="23">
                  <c:v>83.7</c:v>
                </c:pt>
                <c:pt idx="24">
                  <c:v>47.78</c:v>
                </c:pt>
                <c:pt idx="25">
                  <c:v>25.52</c:v>
                </c:pt>
                <c:pt idx="26">
                  <c:v>21.01</c:v>
                </c:pt>
                <c:pt idx="27">
                  <c:v>28.44</c:v>
                </c:pt>
                <c:pt idx="28">
                  <c:v>76.58</c:v>
                </c:pt>
                <c:pt idx="29">
                  <c:v>83.41</c:v>
                </c:pt>
                <c:pt idx="30">
                  <c:v>85.79</c:v>
                </c:pt>
                <c:pt idx="31">
                  <c:v>32.18</c:v>
                </c:pt>
                <c:pt idx="32">
                  <c:v>88</c:v>
                </c:pt>
                <c:pt idx="33">
                  <c:v>95.75</c:v>
                </c:pt>
                <c:pt idx="34">
                  <c:v>57.52</c:v>
                </c:pt>
                <c:pt idx="35">
                  <c:v>41.55</c:v>
                </c:pt>
                <c:pt idx="36">
                  <c:v>36.299999999999997</c:v>
                </c:pt>
                <c:pt idx="37">
                  <c:v>56.97</c:v>
                </c:pt>
                <c:pt idx="38">
                  <c:v>98.14</c:v>
                </c:pt>
                <c:pt idx="39">
                  <c:v>37.270000000000003</c:v>
                </c:pt>
                <c:pt idx="40">
                  <c:v>79.8</c:v>
                </c:pt>
                <c:pt idx="41">
                  <c:v>95.51</c:v>
                </c:pt>
              </c:numCache>
            </c:numRef>
          </c:val>
          <c:smooth val="0"/>
          <c:extLst>
            <c:ext xmlns:c16="http://schemas.microsoft.com/office/drawing/2014/chart" uri="{C3380CC4-5D6E-409C-BE32-E72D297353CC}">
              <c16:uniqueId val="{00000001-22E4-46B5-8384-90E7FD0BEFB1}"/>
            </c:ext>
          </c:extLst>
        </c:ser>
        <c:dLbls>
          <c:showLegendKey val="0"/>
          <c:showVal val="0"/>
          <c:showCatName val="0"/>
          <c:showSerName val="0"/>
          <c:showPercent val="0"/>
          <c:showBubbleSize val="0"/>
        </c:dLbls>
        <c:marker val="1"/>
        <c:smooth val="0"/>
        <c:axId val="385036815"/>
        <c:axId val="385037295"/>
      </c:lineChart>
      <c:catAx>
        <c:axId val="385036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5037295"/>
        <c:crosses val="autoZero"/>
        <c:auto val="1"/>
        <c:lblAlgn val="ctr"/>
        <c:lblOffset val="100"/>
        <c:noMultiLvlLbl val="0"/>
      </c:catAx>
      <c:valAx>
        <c:axId val="385037295"/>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5036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[Power Query.xlsx]Dashboard_Data!PivotTable1</c:name>
    <c:fmtId val="29"/>
  </c:pivotSource>
  <c:chart>
    <c:autoTitleDeleted val="1"/>
    <c:pivotFmts>
      <c:pivotFmt>
        <c:idx val="0"/>
        <c:spPr>
          <a:solidFill>
            <a:srgbClr val="FFCC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CC00"/>
          </a:solidFill>
          <a:ln>
            <a:noFill/>
          </a:ln>
          <a:effectLst>
            <a:outerShdw blurRad="57150" dist="19050" dir="5400000" algn="ctr" rotWithShape="0">
              <a:srgbClr val="000000">
                <a:alpha val="63000"/>
              </a:srgbClr>
            </a:outerShdw>
          </a:effectLst>
        </c:spPr>
      </c:pivotFmt>
      <c:pivotFmt>
        <c:idx val="32"/>
        <c:spPr>
          <a:solidFill>
            <a:srgbClr val="FFCC00"/>
          </a:solidFill>
          <a:ln>
            <a:noFill/>
          </a:ln>
          <a:effectLst>
            <a:outerShdw blurRad="57150" dist="19050" dir="5400000" algn="ctr" rotWithShape="0">
              <a:srgbClr val="000000">
                <a:alpha val="63000"/>
              </a:srgbClr>
            </a:outerShdw>
          </a:effectLst>
        </c:spPr>
      </c:pivotFmt>
      <c:pivotFmt>
        <c:idx val="33"/>
        <c:spPr>
          <a:solidFill>
            <a:srgbClr val="FFCC00"/>
          </a:solidFill>
          <a:ln>
            <a:noFill/>
          </a:ln>
          <a:effectLst>
            <a:outerShdw blurRad="57150" dist="19050" dir="5400000" algn="ctr" rotWithShape="0">
              <a:srgbClr val="000000">
                <a:alpha val="63000"/>
              </a:srgbClr>
            </a:outerShdw>
          </a:effectLst>
        </c:spPr>
      </c:pivotFmt>
      <c:pivotFmt>
        <c:idx val="34"/>
        <c:spPr>
          <a:solidFill>
            <a:srgbClr val="FFCC00"/>
          </a:solidFill>
          <a:ln>
            <a:noFill/>
          </a:ln>
          <a:effectLst>
            <a:outerShdw blurRad="57150" dist="19050" dir="5400000" algn="ctr" rotWithShape="0">
              <a:srgbClr val="000000">
                <a:alpha val="63000"/>
              </a:srgbClr>
            </a:outerShdw>
          </a:effectLst>
        </c:spPr>
      </c:pivotFmt>
      <c:pivotFmt>
        <c:idx val="35"/>
        <c:spPr>
          <a:solidFill>
            <a:srgbClr val="FFCC00"/>
          </a:solidFill>
          <a:ln>
            <a:noFill/>
          </a:ln>
          <a:effectLst>
            <a:outerShdw blurRad="57150" dist="19050" dir="5400000" algn="ctr" rotWithShape="0">
              <a:srgbClr val="000000">
                <a:alpha val="63000"/>
              </a:srgbClr>
            </a:outerShdw>
          </a:effectLst>
        </c:spPr>
      </c:pivotFmt>
      <c:pivotFmt>
        <c:idx val="36"/>
        <c:spPr>
          <a:solidFill>
            <a:srgbClr val="FFCC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CC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Dashboard_Data!$M$3</c:f>
              <c:strCache>
                <c:ptCount val="1"/>
                <c:pt idx="0">
                  <c:v>Total</c:v>
                </c:pt>
              </c:strCache>
            </c:strRef>
          </c:tx>
          <c:spPr>
            <a:solidFill>
              <a:srgbClr val="FFCC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Dashboard_Data!$L$4:$L$9</c:f>
              <c:strCache>
                <c:ptCount val="5"/>
                <c:pt idx="0">
                  <c:v>SKU-D404</c:v>
                </c:pt>
                <c:pt idx="1">
                  <c:v>SKU-A101</c:v>
                </c:pt>
                <c:pt idx="2">
                  <c:v>SKU-B202</c:v>
                </c:pt>
                <c:pt idx="3">
                  <c:v>SKU-C303</c:v>
                </c:pt>
                <c:pt idx="4">
                  <c:v>SKU-E505</c:v>
                </c:pt>
              </c:strCache>
            </c:strRef>
          </c:cat>
          <c:val>
            <c:numRef>
              <c:f>Dashboard_Data!$M$4:$M$9</c:f>
              <c:numCache>
                <c:formatCode>General</c:formatCode>
                <c:ptCount val="5"/>
                <c:pt idx="0">
                  <c:v>3450.9300000000012</c:v>
                </c:pt>
                <c:pt idx="1">
                  <c:v>5066.05</c:v>
                </c:pt>
                <c:pt idx="2">
                  <c:v>5214.4800000000014</c:v>
                </c:pt>
                <c:pt idx="3">
                  <c:v>5649.6200000000008</c:v>
                </c:pt>
                <c:pt idx="4">
                  <c:v>6391.869999999999</c:v>
                </c:pt>
              </c:numCache>
            </c:numRef>
          </c:val>
          <c:extLst>
            <c:ext xmlns:c16="http://schemas.microsoft.com/office/drawing/2014/chart" uri="{C3380CC4-5D6E-409C-BE32-E72D297353CC}">
              <c16:uniqueId val="{00000000-8E4F-4E6C-B0AB-35948E1F9109}"/>
            </c:ext>
          </c:extLst>
        </c:ser>
        <c:dLbls>
          <c:dLblPos val="outEnd"/>
          <c:showLegendKey val="0"/>
          <c:showVal val="1"/>
          <c:showCatName val="0"/>
          <c:showSerName val="0"/>
          <c:showPercent val="0"/>
          <c:showBubbleSize val="0"/>
        </c:dLbls>
        <c:gapWidth val="115"/>
        <c:overlap val="-20"/>
        <c:axId val="1536162687"/>
        <c:axId val="459681088"/>
      </c:barChart>
      <c:valAx>
        <c:axId val="4596810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6162687"/>
        <c:crosses val="autoZero"/>
        <c:crossBetween val="between"/>
      </c:valAx>
      <c:catAx>
        <c:axId val="153616268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681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Query.xlsx]Dashboard_Data!Cumulative Profit</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Dashboard_Data!$Y$3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Dashboard_Data!$X$4:$X$34</c:f>
              <c:multiLvlStrCache>
                <c:ptCount val="29"/>
                <c:lvl>
                  <c:pt idx="0">
                    <c:v>01-04-2026</c:v>
                  </c:pt>
                  <c:pt idx="1">
                    <c:v>02-04-2026</c:v>
                  </c:pt>
                  <c:pt idx="2">
                    <c:v>03-04-2026</c:v>
                  </c:pt>
                  <c:pt idx="3">
                    <c:v>04-04-2026</c:v>
                  </c:pt>
                  <c:pt idx="4">
                    <c:v>05-04-2026</c:v>
                  </c:pt>
                  <c:pt idx="5">
                    <c:v>06-04-2026</c:v>
                  </c:pt>
                  <c:pt idx="6">
                    <c:v>07-04-2026</c:v>
                  </c:pt>
                  <c:pt idx="7">
                    <c:v>08-04-2026</c:v>
                  </c:pt>
                  <c:pt idx="8">
                    <c:v>09-04-2026</c:v>
                  </c:pt>
                  <c:pt idx="9">
                    <c:v>10-04-2026</c:v>
                  </c:pt>
                  <c:pt idx="10">
                    <c:v>11-04-2026</c:v>
                  </c:pt>
                  <c:pt idx="11">
                    <c:v>12-04-2026</c:v>
                  </c:pt>
                  <c:pt idx="12">
                    <c:v>13-04-2026</c:v>
                  </c:pt>
                  <c:pt idx="13">
                    <c:v>14-04-2026</c:v>
                  </c:pt>
                  <c:pt idx="14">
                    <c:v>15-04-2026</c:v>
                  </c:pt>
                  <c:pt idx="15">
                    <c:v>17-04-2026</c:v>
                  </c:pt>
                  <c:pt idx="16">
                    <c:v>18-04-2026</c:v>
                  </c:pt>
                  <c:pt idx="17">
                    <c:v>19-04-2026</c:v>
                  </c:pt>
                  <c:pt idx="18">
                    <c:v>20-04-2026</c:v>
                  </c:pt>
                  <c:pt idx="19">
                    <c:v>21-04-2026</c:v>
                  </c:pt>
                  <c:pt idx="20">
                    <c:v>22-04-2026</c:v>
                  </c:pt>
                  <c:pt idx="21">
                    <c:v>23-04-2026</c:v>
                  </c:pt>
                  <c:pt idx="22">
                    <c:v>24-04-2026</c:v>
                  </c:pt>
                  <c:pt idx="23">
                    <c:v>25-04-2026</c:v>
                  </c:pt>
                  <c:pt idx="24">
                    <c:v>26-04-2026</c:v>
                  </c:pt>
                  <c:pt idx="25">
                    <c:v>27-04-2026</c:v>
                  </c:pt>
                  <c:pt idx="26">
                    <c:v>28-04-2026</c:v>
                  </c:pt>
                  <c:pt idx="27">
                    <c:v>29-04-2026</c:v>
                  </c:pt>
                  <c:pt idx="28">
                    <c:v>30-04-2026</c:v>
                  </c:pt>
                </c:lvl>
                <c:lvl>
                  <c:pt idx="0">
                    <c:v>April</c:v>
                  </c:pt>
                </c:lvl>
              </c:multiLvlStrCache>
            </c:multiLvlStrRef>
          </c:cat>
          <c:val>
            <c:numRef>
              <c:f>Dashboard_Data!$Y$4:$Y$34</c:f>
              <c:numCache>
                <c:formatCode>_-[$$-409]* #,##0.00_ ;_-[$$-409]* \-#,##0.00\ ;_-[$$-409]* "-"??_ ;_-@_ </c:formatCode>
                <c:ptCount val="29"/>
                <c:pt idx="0">
                  <c:v>564.30999999999995</c:v>
                </c:pt>
                <c:pt idx="1">
                  <c:v>932.34999999999991</c:v>
                </c:pt>
                <c:pt idx="2">
                  <c:v>1948.99</c:v>
                </c:pt>
                <c:pt idx="3">
                  <c:v>3111.28</c:v>
                </c:pt>
                <c:pt idx="4">
                  <c:v>3629.3900000000003</c:v>
                </c:pt>
                <c:pt idx="5">
                  <c:v>4031.55</c:v>
                </c:pt>
                <c:pt idx="6">
                  <c:v>4426.3100000000004</c:v>
                </c:pt>
                <c:pt idx="7">
                  <c:v>5406.35</c:v>
                </c:pt>
                <c:pt idx="8">
                  <c:v>6005.17</c:v>
                </c:pt>
                <c:pt idx="9">
                  <c:v>6236.13</c:v>
                </c:pt>
                <c:pt idx="10">
                  <c:v>6388.92</c:v>
                </c:pt>
                <c:pt idx="11">
                  <c:v>7849.16</c:v>
                </c:pt>
                <c:pt idx="12">
                  <c:v>8538.07</c:v>
                </c:pt>
                <c:pt idx="13">
                  <c:v>9027.68</c:v>
                </c:pt>
                <c:pt idx="14">
                  <c:v>9450.83</c:v>
                </c:pt>
                <c:pt idx="15">
                  <c:v>9498.57</c:v>
                </c:pt>
                <c:pt idx="16">
                  <c:v>10239.86</c:v>
                </c:pt>
                <c:pt idx="17">
                  <c:v>10635.62</c:v>
                </c:pt>
                <c:pt idx="18">
                  <c:v>10843.050000000001</c:v>
                </c:pt>
                <c:pt idx="19">
                  <c:v>11483.420000000002</c:v>
                </c:pt>
                <c:pt idx="20">
                  <c:v>11885.170000000002</c:v>
                </c:pt>
                <c:pt idx="21">
                  <c:v>12517.870000000003</c:v>
                </c:pt>
                <c:pt idx="22">
                  <c:v>12737.000000000002</c:v>
                </c:pt>
                <c:pt idx="23">
                  <c:v>13064.500000000002</c:v>
                </c:pt>
                <c:pt idx="24">
                  <c:v>13804.890000000001</c:v>
                </c:pt>
                <c:pt idx="25">
                  <c:v>14223.170000000002</c:v>
                </c:pt>
                <c:pt idx="26">
                  <c:v>14647.500000000002</c:v>
                </c:pt>
                <c:pt idx="27">
                  <c:v>15342.470000000001</c:v>
                </c:pt>
                <c:pt idx="28">
                  <c:v>15433.300000000001</c:v>
                </c:pt>
              </c:numCache>
            </c:numRef>
          </c:val>
          <c:smooth val="0"/>
          <c:extLst>
            <c:ext xmlns:c16="http://schemas.microsoft.com/office/drawing/2014/chart" uri="{C3380CC4-5D6E-409C-BE32-E72D297353CC}">
              <c16:uniqueId val="{00000000-64DA-4F35-A339-8A83B70D1117}"/>
            </c:ext>
          </c:extLst>
        </c:ser>
        <c:dLbls>
          <c:showLegendKey val="0"/>
          <c:showVal val="0"/>
          <c:showCatName val="0"/>
          <c:showSerName val="0"/>
          <c:showPercent val="0"/>
          <c:showBubbleSize val="0"/>
        </c:dLbls>
        <c:marker val="1"/>
        <c:smooth val="0"/>
        <c:axId val="692033840"/>
        <c:axId val="692034800"/>
      </c:lineChart>
      <c:catAx>
        <c:axId val="692033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034800"/>
        <c:crosses val="autoZero"/>
        <c:auto val="1"/>
        <c:lblAlgn val="ctr"/>
        <c:lblOffset val="100"/>
        <c:noMultiLvlLbl val="0"/>
      </c:catAx>
      <c:valAx>
        <c:axId val="69203480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0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Query.xlsx]Dashboard_Data!PivotTable2</c:name>
    <c:fmtId val="15"/>
  </c:pivotSource>
  <c:chart>
    <c:autoTitleDeleted val="0"/>
    <c:pivotFmts>
      <c:pivotFmt>
        <c:idx val="0"/>
        <c:spPr>
          <a:solidFill>
            <a:schemeClr val="tx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D4D4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C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D4D4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C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D4D4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C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Dashboard_Data!$AD$5</c:f>
              <c:strCache>
                <c:ptCount val="1"/>
                <c:pt idx="0">
                  <c:v>Ad Spend</c:v>
                </c:pt>
              </c:strCache>
            </c:strRef>
          </c:tx>
          <c:spPr>
            <a:solidFill>
              <a:schemeClr val="tx1"/>
            </a:solidFill>
            <a:ln>
              <a:noFill/>
            </a:ln>
            <a:effectLst>
              <a:outerShdw blurRad="57150" dist="19050" dir="5400000" algn="ctr" rotWithShape="0">
                <a:srgbClr val="000000">
                  <a:alpha val="63000"/>
                </a:srgbClr>
              </a:outerShdw>
            </a:effectLst>
          </c:spPr>
          <c:invertIfNegative val="0"/>
          <c:cat>
            <c:strRef>
              <c:f>Dashboard_Data!$AC$6:$AC$8</c:f>
              <c:strCache>
                <c:ptCount val="2"/>
                <c:pt idx="0">
                  <c:v>April</c:v>
                </c:pt>
                <c:pt idx="1">
                  <c:v>May</c:v>
                </c:pt>
              </c:strCache>
            </c:strRef>
          </c:cat>
          <c:val>
            <c:numRef>
              <c:f>Dashboard_Data!$AD$6:$AD$8</c:f>
              <c:numCache>
                <c:formatCode>General</c:formatCode>
                <c:ptCount val="2"/>
                <c:pt idx="0">
                  <c:v>1773.03</c:v>
                </c:pt>
                <c:pt idx="1">
                  <c:v>888.18999999999994</c:v>
                </c:pt>
              </c:numCache>
            </c:numRef>
          </c:val>
          <c:extLst>
            <c:ext xmlns:c16="http://schemas.microsoft.com/office/drawing/2014/chart" uri="{C3380CC4-5D6E-409C-BE32-E72D297353CC}">
              <c16:uniqueId val="{00000000-45E6-4DB9-BEA2-4CDF5CABC92D}"/>
            </c:ext>
          </c:extLst>
        </c:ser>
        <c:ser>
          <c:idx val="1"/>
          <c:order val="1"/>
          <c:tx>
            <c:strRef>
              <c:f>Dashboard_Data!$AE$5</c:f>
              <c:strCache>
                <c:ptCount val="1"/>
                <c:pt idx="0">
                  <c:v>Discounts</c:v>
                </c:pt>
              </c:strCache>
            </c:strRef>
          </c:tx>
          <c:spPr>
            <a:solidFill>
              <a:srgbClr val="4D4D4D"/>
            </a:solidFill>
            <a:ln>
              <a:noFill/>
            </a:ln>
            <a:effectLst>
              <a:outerShdw blurRad="57150" dist="19050" dir="5400000" algn="ctr" rotWithShape="0">
                <a:srgbClr val="000000">
                  <a:alpha val="63000"/>
                </a:srgbClr>
              </a:outerShdw>
            </a:effectLst>
          </c:spPr>
          <c:invertIfNegative val="0"/>
          <c:cat>
            <c:strRef>
              <c:f>Dashboard_Data!$AC$6:$AC$8</c:f>
              <c:strCache>
                <c:ptCount val="2"/>
                <c:pt idx="0">
                  <c:v>April</c:v>
                </c:pt>
                <c:pt idx="1">
                  <c:v>May</c:v>
                </c:pt>
              </c:strCache>
            </c:strRef>
          </c:cat>
          <c:val>
            <c:numRef>
              <c:f>Dashboard_Data!$AE$6:$AE$8</c:f>
              <c:numCache>
                <c:formatCode>General</c:formatCode>
                <c:ptCount val="2"/>
                <c:pt idx="0">
                  <c:v>2470.73</c:v>
                </c:pt>
                <c:pt idx="1">
                  <c:v>439.93000000000006</c:v>
                </c:pt>
              </c:numCache>
            </c:numRef>
          </c:val>
          <c:extLst>
            <c:ext xmlns:c16="http://schemas.microsoft.com/office/drawing/2014/chart" uri="{C3380CC4-5D6E-409C-BE32-E72D297353CC}">
              <c16:uniqueId val="{00000001-45E6-4DB9-BEA2-4CDF5CABC92D}"/>
            </c:ext>
          </c:extLst>
        </c:ser>
        <c:ser>
          <c:idx val="2"/>
          <c:order val="2"/>
          <c:tx>
            <c:strRef>
              <c:f>Dashboard_Data!$AF$5</c:f>
              <c:strCache>
                <c:ptCount val="1"/>
                <c:pt idx="0">
                  <c:v>Shipping Fee</c:v>
                </c:pt>
              </c:strCache>
            </c:strRef>
          </c:tx>
          <c:spPr>
            <a:solidFill>
              <a:schemeClr val="bg2">
                <a:lumMod val="25000"/>
              </a:schemeClr>
            </a:solidFill>
            <a:ln>
              <a:noFill/>
            </a:ln>
            <a:effectLst>
              <a:outerShdw blurRad="57150" dist="19050" dir="5400000" algn="ctr" rotWithShape="0">
                <a:srgbClr val="000000">
                  <a:alpha val="63000"/>
                </a:srgbClr>
              </a:outerShdw>
            </a:effectLst>
          </c:spPr>
          <c:invertIfNegative val="0"/>
          <c:cat>
            <c:strRef>
              <c:f>Dashboard_Data!$AC$6:$AC$8</c:f>
              <c:strCache>
                <c:ptCount val="2"/>
                <c:pt idx="0">
                  <c:v>April</c:v>
                </c:pt>
                <c:pt idx="1">
                  <c:v>May</c:v>
                </c:pt>
              </c:strCache>
            </c:strRef>
          </c:cat>
          <c:val>
            <c:numRef>
              <c:f>Dashboard_Data!$AF$6:$AF$8</c:f>
              <c:numCache>
                <c:formatCode>General</c:formatCode>
                <c:ptCount val="2"/>
                <c:pt idx="0">
                  <c:v>995.18</c:v>
                </c:pt>
                <c:pt idx="1">
                  <c:v>209.90000000000003</c:v>
                </c:pt>
              </c:numCache>
            </c:numRef>
          </c:val>
          <c:extLst>
            <c:ext xmlns:c16="http://schemas.microsoft.com/office/drawing/2014/chart" uri="{C3380CC4-5D6E-409C-BE32-E72D297353CC}">
              <c16:uniqueId val="{00000002-45E6-4DB9-BEA2-4CDF5CABC92D}"/>
            </c:ext>
          </c:extLst>
        </c:ser>
        <c:ser>
          <c:idx val="3"/>
          <c:order val="3"/>
          <c:tx>
            <c:strRef>
              <c:f>Dashboard_Data!$AG$5</c:f>
              <c:strCache>
                <c:ptCount val="1"/>
                <c:pt idx="0">
                  <c:v>Sum of Net Profit</c:v>
                </c:pt>
              </c:strCache>
            </c:strRef>
          </c:tx>
          <c:spPr>
            <a:solidFill>
              <a:srgbClr val="FFCC00"/>
            </a:solidFill>
            <a:ln>
              <a:noFill/>
            </a:ln>
            <a:effectLst>
              <a:outerShdw blurRad="57150" dist="19050" dir="5400000" algn="ctr" rotWithShape="0">
                <a:srgbClr val="000000">
                  <a:alpha val="63000"/>
                </a:srgbClr>
              </a:outerShdw>
            </a:effectLst>
          </c:spPr>
          <c:invertIfNegative val="0"/>
          <c:cat>
            <c:strRef>
              <c:f>Dashboard_Data!$AC$6:$AC$8</c:f>
              <c:strCache>
                <c:ptCount val="2"/>
                <c:pt idx="0">
                  <c:v>April</c:v>
                </c:pt>
                <c:pt idx="1">
                  <c:v>May</c:v>
                </c:pt>
              </c:strCache>
            </c:strRef>
          </c:cat>
          <c:val>
            <c:numRef>
              <c:f>Dashboard_Data!$AG$6:$AG$8</c:f>
              <c:numCache>
                <c:formatCode>General</c:formatCode>
                <c:ptCount val="2"/>
                <c:pt idx="0">
                  <c:v>15433.300000000001</c:v>
                </c:pt>
                <c:pt idx="1">
                  <c:v>3562.6900000000005</c:v>
                </c:pt>
              </c:numCache>
            </c:numRef>
          </c:val>
          <c:extLst>
            <c:ext xmlns:c16="http://schemas.microsoft.com/office/drawing/2014/chart" uri="{C3380CC4-5D6E-409C-BE32-E72D297353CC}">
              <c16:uniqueId val="{00000003-45E6-4DB9-BEA2-4CDF5CABC92D}"/>
            </c:ext>
          </c:extLst>
        </c:ser>
        <c:dLbls>
          <c:showLegendKey val="0"/>
          <c:showVal val="0"/>
          <c:showCatName val="0"/>
          <c:showSerName val="0"/>
          <c:showPercent val="0"/>
          <c:showBubbleSize val="0"/>
        </c:dLbls>
        <c:gapWidth val="150"/>
        <c:overlap val="100"/>
        <c:axId val="461515808"/>
        <c:axId val="461513408"/>
      </c:barChart>
      <c:catAx>
        <c:axId val="461515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513408"/>
        <c:crosses val="autoZero"/>
        <c:auto val="1"/>
        <c:lblAlgn val="ctr"/>
        <c:lblOffset val="100"/>
        <c:noMultiLvlLbl val="0"/>
      </c:catAx>
      <c:valAx>
        <c:axId val="46151340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51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97380</xdr:colOff>
      <xdr:row>0</xdr:row>
      <xdr:rowOff>106680</xdr:rowOff>
    </xdr:from>
    <xdr:to>
      <xdr:col>20</xdr:col>
      <xdr:colOff>599326</xdr:colOff>
      <xdr:row>3</xdr:row>
      <xdr:rowOff>15240</xdr:rowOff>
    </xdr:to>
    <xdr:sp macro="" textlink="">
      <xdr:nvSpPr>
        <xdr:cNvPr id="2" name="Rectangle: Rounded Corners 1">
          <a:extLst>
            <a:ext uri="{FF2B5EF4-FFF2-40B4-BE49-F238E27FC236}">
              <a16:creationId xmlns:a16="http://schemas.microsoft.com/office/drawing/2014/main" id="{E9CE02E6-4A85-85BD-CBE8-6E78B8927BAC}"/>
            </a:ext>
          </a:extLst>
        </xdr:cNvPr>
        <xdr:cNvSpPr/>
      </xdr:nvSpPr>
      <xdr:spPr>
        <a:xfrm>
          <a:off x="97380" y="106680"/>
          <a:ext cx="12659699" cy="447953"/>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solidFill>
                <a:srgbClr val="FFC000"/>
              </a:solidFill>
            </a:rPr>
            <a:t>E-Commerce Dashboard</a:t>
          </a:r>
        </a:p>
      </xdr:txBody>
    </xdr:sp>
    <xdr:clientData/>
  </xdr:twoCellAnchor>
  <xdr:twoCellAnchor>
    <xdr:from>
      <xdr:col>21</xdr:col>
      <xdr:colOff>162676</xdr:colOff>
      <xdr:row>0</xdr:row>
      <xdr:rowOff>91440</xdr:rowOff>
    </xdr:from>
    <xdr:to>
      <xdr:col>25</xdr:col>
      <xdr:colOff>547785</xdr:colOff>
      <xdr:row>3</xdr:row>
      <xdr:rowOff>0</xdr:rowOff>
    </xdr:to>
    <xdr:sp macro="" textlink="">
      <xdr:nvSpPr>
        <xdr:cNvPr id="3" name="Rectangle: Rounded Corners 2">
          <a:extLst>
            <a:ext uri="{FF2B5EF4-FFF2-40B4-BE49-F238E27FC236}">
              <a16:creationId xmlns:a16="http://schemas.microsoft.com/office/drawing/2014/main" id="{0265E16B-A12B-8A63-B218-8981B776085D}"/>
            </a:ext>
          </a:extLst>
        </xdr:cNvPr>
        <xdr:cNvSpPr/>
      </xdr:nvSpPr>
      <xdr:spPr>
        <a:xfrm>
          <a:off x="12928316" y="91440"/>
          <a:ext cx="2816660" cy="447953"/>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a:solidFill>
                <a:srgbClr val="FFC000"/>
              </a:solidFill>
              <a:latin typeface="+mn-lt"/>
              <a:ea typeface="+mn-ea"/>
              <a:cs typeface="+mn-cs"/>
            </a:rPr>
            <a:t>Refresh</a:t>
          </a:r>
        </a:p>
      </xdr:txBody>
    </xdr:sp>
    <xdr:clientData/>
  </xdr:twoCellAnchor>
  <xdr:twoCellAnchor>
    <xdr:from>
      <xdr:col>3</xdr:col>
      <xdr:colOff>500866</xdr:colOff>
      <xdr:row>30</xdr:row>
      <xdr:rowOff>38956</xdr:rowOff>
    </xdr:from>
    <xdr:to>
      <xdr:col>14</xdr:col>
      <xdr:colOff>247145</xdr:colOff>
      <xdr:row>38</xdr:row>
      <xdr:rowOff>176353</xdr:rowOff>
    </xdr:to>
    <xdr:grpSp>
      <xdr:nvGrpSpPr>
        <xdr:cNvPr id="38" name="Group 37">
          <a:extLst>
            <a:ext uri="{FF2B5EF4-FFF2-40B4-BE49-F238E27FC236}">
              <a16:creationId xmlns:a16="http://schemas.microsoft.com/office/drawing/2014/main" id="{B8401BA7-1CEF-237C-903D-CFD2101A8956}"/>
            </a:ext>
          </a:extLst>
        </xdr:cNvPr>
        <xdr:cNvGrpSpPr/>
      </xdr:nvGrpSpPr>
      <xdr:grpSpPr>
        <a:xfrm>
          <a:off x="2340817" y="5614566"/>
          <a:ext cx="6492767" cy="1624226"/>
          <a:chOff x="2340817" y="5614566"/>
          <a:chExt cx="6492767" cy="1624226"/>
        </a:xfrm>
      </xdr:grpSpPr>
      <xdr:sp macro="" textlink="">
        <xdr:nvSpPr>
          <xdr:cNvPr id="25" name="Rectangle: Rounded Corners 24">
            <a:extLst>
              <a:ext uri="{FF2B5EF4-FFF2-40B4-BE49-F238E27FC236}">
                <a16:creationId xmlns:a16="http://schemas.microsoft.com/office/drawing/2014/main" id="{12270883-1157-6D28-16D2-7DC4B85D6B27}"/>
              </a:ext>
            </a:extLst>
          </xdr:cNvPr>
          <xdr:cNvSpPr/>
        </xdr:nvSpPr>
        <xdr:spPr>
          <a:xfrm>
            <a:off x="2340817" y="5614566"/>
            <a:ext cx="6492767" cy="1624226"/>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rgbClr val="FFC000"/>
                </a:solidFill>
                <a:latin typeface="+mn-lt"/>
                <a:ea typeface="+mn-ea"/>
                <a:cs typeface="+mn-cs"/>
              </a:rPr>
              <a:t>DATE</a:t>
            </a:r>
          </a:p>
        </xdr:txBody>
      </xdr:sp>
      <mc:AlternateContent xmlns:mc="http://schemas.openxmlformats.org/markup-compatibility/2006">
        <mc:Choice xmlns:tsle="http://schemas.microsoft.com/office/drawing/2012/timeslicer" Requires="tsle">
          <xdr:graphicFrame macro="">
            <xdr:nvGraphicFramePr>
              <xdr:cNvPr id="26" name="Date 1">
                <a:extLst>
                  <a:ext uri="{FF2B5EF4-FFF2-40B4-BE49-F238E27FC236}">
                    <a16:creationId xmlns:a16="http://schemas.microsoft.com/office/drawing/2014/main" id="{A24E827A-5C74-4F0E-9B23-7CB8760F37F7}"/>
                  </a:ext>
                </a:extLst>
              </xdr:cNvPr>
              <xdr:cNvGraphicFramePr/>
            </xdr:nvGraphicFramePr>
            <xdr:xfrm>
              <a:off x="2535866" y="5918343"/>
              <a:ext cx="6102668" cy="1221647"/>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535866" y="5918343"/>
                <a:ext cx="6102668" cy="12216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fLocksWithSheet="0"/>
  </xdr:twoCellAnchor>
  <xdr:twoCellAnchor>
    <xdr:from>
      <xdr:col>0</xdr:col>
      <xdr:colOff>0</xdr:colOff>
      <xdr:row>34</xdr:row>
      <xdr:rowOff>132592</xdr:rowOff>
    </xdr:from>
    <xdr:to>
      <xdr:col>0</xdr:col>
      <xdr:colOff>0</xdr:colOff>
      <xdr:row>51</xdr:row>
      <xdr:rowOff>124119</xdr:rowOff>
    </xdr:to>
    <xdr:sp macro="" textlink="">
      <xdr:nvSpPr>
        <xdr:cNvPr id="11" name="Rectangle: Rounded Corners 10">
          <a:extLst>
            <a:ext uri="{FF2B5EF4-FFF2-40B4-BE49-F238E27FC236}">
              <a16:creationId xmlns:a16="http://schemas.microsoft.com/office/drawing/2014/main" id="{3E7F2E05-9857-2E62-BE04-6FFE921605DD}"/>
            </a:ext>
          </a:extLst>
        </xdr:cNvPr>
        <xdr:cNvSpPr/>
      </xdr:nvSpPr>
      <xdr:spPr>
        <a:xfrm>
          <a:off x="0" y="6275726"/>
          <a:ext cx="0" cy="3063094"/>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600">
              <a:solidFill>
                <a:schemeClr val="lt1"/>
              </a:solidFill>
              <a:latin typeface="+mn-lt"/>
              <a:ea typeface="+mn-ea"/>
              <a:cs typeface="+mn-cs"/>
            </a:rPr>
            <a:t>Chart 1</a:t>
          </a:r>
        </a:p>
      </xdr:txBody>
    </xdr:sp>
    <xdr:clientData/>
  </xdr:twoCellAnchor>
  <xdr:twoCellAnchor>
    <xdr:from>
      <xdr:col>0</xdr:col>
      <xdr:colOff>107061</xdr:colOff>
      <xdr:row>11</xdr:row>
      <xdr:rowOff>29141</xdr:rowOff>
    </xdr:from>
    <xdr:to>
      <xdr:col>3</xdr:col>
      <xdr:colOff>67110</xdr:colOff>
      <xdr:row>38</xdr:row>
      <xdr:rowOff>167268</xdr:rowOff>
    </xdr:to>
    <xdr:grpSp>
      <xdr:nvGrpSpPr>
        <xdr:cNvPr id="54" name="Group 53">
          <a:extLst>
            <a:ext uri="{FF2B5EF4-FFF2-40B4-BE49-F238E27FC236}">
              <a16:creationId xmlns:a16="http://schemas.microsoft.com/office/drawing/2014/main" id="{A78CD0B2-A045-1269-33C2-F21381E6BA38}"/>
            </a:ext>
          </a:extLst>
        </xdr:cNvPr>
        <xdr:cNvGrpSpPr/>
      </xdr:nvGrpSpPr>
      <xdr:grpSpPr>
        <a:xfrm>
          <a:off x="107061" y="2073531"/>
          <a:ext cx="1800000" cy="5156176"/>
          <a:chOff x="107061" y="2073531"/>
          <a:chExt cx="1800000" cy="5156176"/>
        </a:xfrm>
      </xdr:grpSpPr>
      <xdr:sp macro="" textlink="">
        <xdr:nvSpPr>
          <xdr:cNvPr id="14" name="Rectangle: Rounded Corners 13">
            <a:extLst>
              <a:ext uri="{FF2B5EF4-FFF2-40B4-BE49-F238E27FC236}">
                <a16:creationId xmlns:a16="http://schemas.microsoft.com/office/drawing/2014/main" id="{2096229D-C2DD-9716-39B8-ADD27553EE6D}"/>
              </a:ext>
            </a:extLst>
          </xdr:cNvPr>
          <xdr:cNvSpPr/>
        </xdr:nvSpPr>
        <xdr:spPr>
          <a:xfrm>
            <a:off x="107061" y="2073531"/>
            <a:ext cx="1800000" cy="5156176"/>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aseline="0">
                <a:solidFill>
                  <a:srgbClr val="FFC000"/>
                </a:solidFill>
                <a:latin typeface="+mn-lt"/>
                <a:ea typeface="+mn-ea"/>
                <a:cs typeface="+mn-cs"/>
              </a:rPr>
              <a:t>Time Filter</a:t>
            </a:r>
            <a:endParaRPr lang="en-IN" sz="1100">
              <a:solidFill>
                <a:srgbClr val="FFC000"/>
              </a:solidFill>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20" name="Month">
                <a:extLst>
                  <a:ext uri="{FF2B5EF4-FFF2-40B4-BE49-F238E27FC236}">
                    <a16:creationId xmlns:a16="http://schemas.microsoft.com/office/drawing/2014/main" id="{98A0E9E5-1F3C-4086-A30D-1F9B95CAD9D5}"/>
                  </a:ext>
                </a:extLst>
              </xdr:cNvPr>
              <xdr:cNvGraphicFramePr/>
            </xdr:nvGraphicFramePr>
            <xdr:xfrm>
              <a:off x="138196" y="2443977"/>
              <a:ext cx="1737731" cy="4488364"/>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8196" y="2443977"/>
                <a:ext cx="1737731" cy="4488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xdr:from>
      <xdr:col>15</xdr:col>
      <xdr:colOff>86150</xdr:colOff>
      <xdr:row>3</xdr:row>
      <xdr:rowOff>181805</xdr:rowOff>
    </xdr:from>
    <xdr:to>
      <xdr:col>21</xdr:col>
      <xdr:colOff>582247</xdr:colOff>
      <xdr:row>20</xdr:row>
      <xdr:rowOff>173332</xdr:rowOff>
    </xdr:to>
    <xdr:grpSp>
      <xdr:nvGrpSpPr>
        <xdr:cNvPr id="35" name="Group 34">
          <a:extLst>
            <a:ext uri="{FF2B5EF4-FFF2-40B4-BE49-F238E27FC236}">
              <a16:creationId xmlns:a16="http://schemas.microsoft.com/office/drawing/2014/main" id="{D6D34A12-A4D7-CC48-82B8-49E9FE7FC95B}"/>
            </a:ext>
          </a:extLst>
        </xdr:cNvPr>
        <xdr:cNvGrpSpPr/>
      </xdr:nvGrpSpPr>
      <xdr:grpSpPr>
        <a:xfrm>
          <a:off x="9285906" y="739366"/>
          <a:ext cx="4176000" cy="3151039"/>
          <a:chOff x="9285906" y="739366"/>
          <a:chExt cx="4176000" cy="3151039"/>
        </a:xfrm>
      </xdr:grpSpPr>
      <xdr:sp macro="" textlink="">
        <xdr:nvSpPr>
          <xdr:cNvPr id="10" name="Rectangle: Rounded Corners 9">
            <a:extLst>
              <a:ext uri="{FF2B5EF4-FFF2-40B4-BE49-F238E27FC236}">
                <a16:creationId xmlns:a16="http://schemas.microsoft.com/office/drawing/2014/main" id="{A463B468-976C-6E63-2EE0-FA7DA898A05B}"/>
              </a:ext>
            </a:extLst>
          </xdr:cNvPr>
          <xdr:cNvSpPr/>
        </xdr:nvSpPr>
        <xdr:spPr>
          <a:xfrm>
            <a:off x="9285906" y="739366"/>
            <a:ext cx="4176000" cy="3151039"/>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rgbClr val="FFC000"/>
                </a:solidFill>
              </a:rPr>
              <a:t>Advertising Efficiency (ROAS) Trend</a:t>
            </a:r>
            <a:endParaRPr lang="en-IN" sz="1600">
              <a:solidFill>
                <a:srgbClr val="FFC000"/>
              </a:solidFill>
              <a:latin typeface="+mn-lt"/>
              <a:ea typeface="+mn-ea"/>
              <a:cs typeface="+mn-cs"/>
            </a:endParaRPr>
          </a:p>
        </xdr:txBody>
      </xdr:sp>
      <xdr:graphicFrame macro="">
        <xdr:nvGraphicFramePr>
          <xdr:cNvPr id="22" name="Chart 21">
            <a:extLst>
              <a:ext uri="{FF2B5EF4-FFF2-40B4-BE49-F238E27FC236}">
                <a16:creationId xmlns:a16="http://schemas.microsoft.com/office/drawing/2014/main" id="{7B4DED54-E1E9-41A1-A8F6-C5D012DD070F}"/>
              </a:ext>
            </a:extLst>
          </xdr:cNvPr>
          <xdr:cNvGraphicFramePr>
            <a:graphicFrameLocks/>
          </xdr:cNvGraphicFramePr>
        </xdr:nvGraphicFramePr>
        <xdr:xfrm>
          <a:off x="9335420" y="1197739"/>
          <a:ext cx="4076972" cy="223429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246934</xdr:colOff>
      <xdr:row>11</xdr:row>
      <xdr:rowOff>27882</xdr:rowOff>
    </xdr:from>
    <xdr:to>
      <xdr:col>14</xdr:col>
      <xdr:colOff>464633</xdr:colOff>
      <xdr:row>29</xdr:row>
      <xdr:rowOff>92930</xdr:rowOff>
    </xdr:to>
    <xdr:grpSp>
      <xdr:nvGrpSpPr>
        <xdr:cNvPr id="37" name="Group 36">
          <a:extLst>
            <a:ext uri="{FF2B5EF4-FFF2-40B4-BE49-F238E27FC236}">
              <a16:creationId xmlns:a16="http://schemas.microsoft.com/office/drawing/2014/main" id="{9F232198-61FD-30D4-A0C0-3AB5AB322CC9}"/>
            </a:ext>
          </a:extLst>
        </xdr:cNvPr>
        <xdr:cNvGrpSpPr/>
      </xdr:nvGrpSpPr>
      <xdr:grpSpPr>
        <a:xfrm>
          <a:off x="2086885" y="2072272"/>
          <a:ext cx="6964187" cy="3410414"/>
          <a:chOff x="2086885" y="2072272"/>
          <a:chExt cx="6964187" cy="3410414"/>
        </a:xfrm>
      </xdr:grpSpPr>
      <xdr:sp macro="" textlink="">
        <xdr:nvSpPr>
          <xdr:cNvPr id="23" name="Rectangle: Rounded Corners 22">
            <a:extLst>
              <a:ext uri="{FF2B5EF4-FFF2-40B4-BE49-F238E27FC236}">
                <a16:creationId xmlns:a16="http://schemas.microsoft.com/office/drawing/2014/main" id="{D8791ABF-1D14-48A7-D891-3D2041050105}"/>
              </a:ext>
            </a:extLst>
          </xdr:cNvPr>
          <xdr:cNvSpPr/>
        </xdr:nvSpPr>
        <xdr:spPr>
          <a:xfrm>
            <a:off x="2086885" y="2072272"/>
            <a:ext cx="6964187" cy="3410414"/>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rgbClr val="FFC000"/>
                </a:solidFill>
              </a:rPr>
              <a:t>Revenue vs. Ad Spend Performance</a:t>
            </a:r>
            <a:endParaRPr lang="en-IN" sz="1600">
              <a:solidFill>
                <a:srgbClr val="FFC000"/>
              </a:solidFill>
              <a:latin typeface="+mn-lt"/>
              <a:ea typeface="+mn-ea"/>
              <a:cs typeface="+mn-cs"/>
            </a:endParaRPr>
          </a:p>
        </xdr:txBody>
      </xdr:sp>
      <xdr:graphicFrame macro="">
        <xdr:nvGraphicFramePr>
          <xdr:cNvPr id="28" name="Chart 3">
            <a:extLst>
              <a:ext uri="{FF2B5EF4-FFF2-40B4-BE49-F238E27FC236}">
                <a16:creationId xmlns:a16="http://schemas.microsoft.com/office/drawing/2014/main" id="{2D2E9172-0E28-FF0F-7859-8334ABDBA587}"/>
              </a:ext>
            </a:extLst>
          </xdr:cNvPr>
          <xdr:cNvGraphicFramePr/>
        </xdr:nvGraphicFramePr>
        <xdr:xfrm>
          <a:off x="2114331" y="2490439"/>
          <a:ext cx="6909295" cy="275992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22</xdr:col>
      <xdr:colOff>176561</xdr:colOff>
      <xdr:row>4</xdr:row>
      <xdr:rowOff>1750</xdr:rowOff>
    </xdr:from>
    <xdr:to>
      <xdr:col>28</xdr:col>
      <xdr:colOff>9296</xdr:colOff>
      <xdr:row>20</xdr:row>
      <xdr:rowOff>179133</xdr:rowOff>
    </xdr:to>
    <xdr:grpSp>
      <xdr:nvGrpSpPr>
        <xdr:cNvPr id="36" name="Group 35">
          <a:extLst>
            <a:ext uri="{FF2B5EF4-FFF2-40B4-BE49-F238E27FC236}">
              <a16:creationId xmlns:a16="http://schemas.microsoft.com/office/drawing/2014/main" id="{EDB833C2-3BC1-795F-DA2E-96CB55DD6604}"/>
            </a:ext>
          </a:extLst>
        </xdr:cNvPr>
        <xdr:cNvGrpSpPr/>
      </xdr:nvGrpSpPr>
      <xdr:grpSpPr>
        <a:xfrm>
          <a:off x="13669537" y="745165"/>
          <a:ext cx="3512637" cy="3151041"/>
          <a:chOff x="13669537" y="745165"/>
          <a:chExt cx="3512637" cy="3151041"/>
        </a:xfrm>
      </xdr:grpSpPr>
      <xdr:sp macro="" textlink="">
        <xdr:nvSpPr>
          <xdr:cNvPr id="12" name="Rectangle: Rounded Corners 11">
            <a:extLst>
              <a:ext uri="{FF2B5EF4-FFF2-40B4-BE49-F238E27FC236}">
                <a16:creationId xmlns:a16="http://schemas.microsoft.com/office/drawing/2014/main" id="{0EB670DD-643D-5DE7-E02C-C518696FE3E8}"/>
              </a:ext>
            </a:extLst>
          </xdr:cNvPr>
          <xdr:cNvSpPr/>
        </xdr:nvSpPr>
        <xdr:spPr>
          <a:xfrm>
            <a:off x="13669537" y="745165"/>
            <a:ext cx="3512637" cy="3151041"/>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rgbClr val="FFC000"/>
                </a:solidFill>
              </a:rPr>
              <a:t>Top Performing SKUs</a:t>
            </a:r>
            <a:endParaRPr lang="en-IN" sz="1600">
              <a:solidFill>
                <a:srgbClr val="FFC000"/>
              </a:solidFill>
              <a:latin typeface="+mn-lt"/>
              <a:ea typeface="+mn-ea"/>
              <a:cs typeface="+mn-cs"/>
            </a:endParaRPr>
          </a:p>
        </xdr:txBody>
      </xdr:sp>
      <xdr:graphicFrame macro="">
        <xdr:nvGraphicFramePr>
          <xdr:cNvPr id="30" name="Chart 29">
            <a:extLst>
              <a:ext uri="{FF2B5EF4-FFF2-40B4-BE49-F238E27FC236}">
                <a16:creationId xmlns:a16="http://schemas.microsoft.com/office/drawing/2014/main" id="{C193E250-CB02-4AC5-9B34-C5AFF3EDB0AC}"/>
              </a:ext>
            </a:extLst>
          </xdr:cNvPr>
          <xdr:cNvGraphicFramePr>
            <a:graphicFrameLocks/>
          </xdr:cNvGraphicFramePr>
        </xdr:nvGraphicFramePr>
        <xdr:xfrm>
          <a:off x="13702062" y="1197145"/>
          <a:ext cx="3447586" cy="224708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141000</xdr:colOff>
      <xdr:row>22</xdr:row>
      <xdr:rowOff>16433</xdr:rowOff>
    </xdr:from>
    <xdr:to>
      <xdr:col>20</xdr:col>
      <xdr:colOff>520390</xdr:colOff>
      <xdr:row>39</xdr:row>
      <xdr:rowOff>7959</xdr:rowOff>
    </xdr:to>
    <xdr:grpSp>
      <xdr:nvGrpSpPr>
        <xdr:cNvPr id="40" name="Group 39">
          <a:extLst>
            <a:ext uri="{FF2B5EF4-FFF2-40B4-BE49-F238E27FC236}">
              <a16:creationId xmlns:a16="http://schemas.microsoft.com/office/drawing/2014/main" id="{56B7724E-0E2D-99BF-ECCB-54EBCEB27E3B}"/>
            </a:ext>
          </a:extLst>
        </xdr:cNvPr>
        <xdr:cNvGrpSpPr/>
      </xdr:nvGrpSpPr>
      <xdr:grpSpPr>
        <a:xfrm>
          <a:off x="9340756" y="4105213"/>
          <a:ext cx="3445975" cy="3151039"/>
          <a:chOff x="9340756" y="4105213"/>
          <a:chExt cx="3445975" cy="3151039"/>
        </a:xfrm>
      </xdr:grpSpPr>
      <xdr:sp macro="" textlink="">
        <xdr:nvSpPr>
          <xdr:cNvPr id="17" name="Rectangle: Rounded Corners 16">
            <a:extLst>
              <a:ext uri="{FF2B5EF4-FFF2-40B4-BE49-F238E27FC236}">
                <a16:creationId xmlns:a16="http://schemas.microsoft.com/office/drawing/2014/main" id="{1855CCDF-74C9-77E0-00E1-CCAC0EA0FF27}"/>
              </a:ext>
            </a:extLst>
          </xdr:cNvPr>
          <xdr:cNvSpPr/>
        </xdr:nvSpPr>
        <xdr:spPr>
          <a:xfrm>
            <a:off x="9340756" y="4105213"/>
            <a:ext cx="3445975" cy="3151039"/>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rgbClr val="FFC000"/>
                </a:solidFill>
              </a:rPr>
              <a:t>Total Net Profit Growth</a:t>
            </a:r>
            <a:endParaRPr lang="en-IN" sz="1600">
              <a:solidFill>
                <a:srgbClr val="FFC000"/>
              </a:solidFill>
              <a:latin typeface="+mn-lt"/>
              <a:ea typeface="+mn-ea"/>
              <a:cs typeface="+mn-cs"/>
            </a:endParaRPr>
          </a:p>
        </xdr:txBody>
      </xdr:sp>
      <xdr:graphicFrame macro="">
        <xdr:nvGraphicFramePr>
          <xdr:cNvPr id="39" name="Chart 38">
            <a:extLst>
              <a:ext uri="{FF2B5EF4-FFF2-40B4-BE49-F238E27FC236}">
                <a16:creationId xmlns:a16="http://schemas.microsoft.com/office/drawing/2014/main" id="{A20D4ECF-75CD-403C-83B3-45AA4773259B}"/>
              </a:ext>
            </a:extLst>
          </xdr:cNvPr>
          <xdr:cNvGraphicFramePr>
            <a:graphicFrameLocks/>
          </xdr:cNvGraphicFramePr>
        </xdr:nvGraphicFramePr>
        <xdr:xfrm>
          <a:off x="9381767" y="4569847"/>
          <a:ext cx="3363953" cy="243683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21</xdr:col>
      <xdr:colOff>120801</xdr:colOff>
      <xdr:row>22</xdr:row>
      <xdr:rowOff>12007</xdr:rowOff>
    </xdr:from>
    <xdr:to>
      <xdr:col>28</xdr:col>
      <xdr:colOff>3582</xdr:colOff>
      <xdr:row>39</xdr:row>
      <xdr:rowOff>3533</xdr:rowOff>
    </xdr:to>
    <xdr:grpSp>
      <xdr:nvGrpSpPr>
        <xdr:cNvPr id="42" name="Group 41">
          <a:extLst>
            <a:ext uri="{FF2B5EF4-FFF2-40B4-BE49-F238E27FC236}">
              <a16:creationId xmlns:a16="http://schemas.microsoft.com/office/drawing/2014/main" id="{75335EF9-15CF-308C-FBDE-06AD2695D90B}"/>
            </a:ext>
          </a:extLst>
        </xdr:cNvPr>
        <xdr:cNvGrpSpPr/>
      </xdr:nvGrpSpPr>
      <xdr:grpSpPr>
        <a:xfrm>
          <a:off x="13000460" y="4100787"/>
          <a:ext cx="4176000" cy="3151039"/>
          <a:chOff x="13000460" y="4100787"/>
          <a:chExt cx="4176000" cy="3151039"/>
        </a:xfrm>
      </xdr:grpSpPr>
      <xdr:sp macro="" textlink="">
        <xdr:nvSpPr>
          <xdr:cNvPr id="18" name="Rectangle: Rounded Corners 17">
            <a:extLst>
              <a:ext uri="{FF2B5EF4-FFF2-40B4-BE49-F238E27FC236}">
                <a16:creationId xmlns:a16="http://schemas.microsoft.com/office/drawing/2014/main" id="{6A799624-9BED-F6EB-9F09-D956DF5A5C28}"/>
              </a:ext>
            </a:extLst>
          </xdr:cNvPr>
          <xdr:cNvSpPr/>
        </xdr:nvSpPr>
        <xdr:spPr>
          <a:xfrm>
            <a:off x="13000460" y="4100787"/>
            <a:ext cx="4176000" cy="3151039"/>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a:solidFill>
                  <a:srgbClr val="FFC000"/>
                </a:solidFill>
                <a:latin typeface="+mn-lt"/>
                <a:ea typeface="+mn-ea"/>
                <a:cs typeface="+mn-cs"/>
              </a:rPr>
              <a:t>Monthly Profit Retention</a:t>
            </a:r>
          </a:p>
        </xdr:txBody>
      </xdr:sp>
      <xdr:graphicFrame macro="">
        <xdr:nvGraphicFramePr>
          <xdr:cNvPr id="41" name="Chart 40">
            <a:extLst>
              <a:ext uri="{FF2B5EF4-FFF2-40B4-BE49-F238E27FC236}">
                <a16:creationId xmlns:a16="http://schemas.microsoft.com/office/drawing/2014/main" id="{D5BA56C4-A79A-4F5B-8951-E81BC5D05931}"/>
              </a:ext>
            </a:extLst>
          </xdr:cNvPr>
          <xdr:cNvGraphicFramePr>
            <a:graphicFrameLocks/>
          </xdr:cNvGraphicFramePr>
        </xdr:nvGraphicFramePr>
        <xdr:xfrm>
          <a:off x="13039423" y="4574713"/>
          <a:ext cx="4098074" cy="238550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97380</xdr:colOff>
      <xdr:row>4</xdr:row>
      <xdr:rowOff>6307</xdr:rowOff>
    </xdr:from>
    <xdr:to>
      <xdr:col>3</xdr:col>
      <xdr:colOff>56854</xdr:colOff>
      <xdr:row>10</xdr:row>
      <xdr:rowOff>9291</xdr:rowOff>
    </xdr:to>
    <xdr:grpSp>
      <xdr:nvGrpSpPr>
        <xdr:cNvPr id="50" name="Group 49">
          <a:extLst>
            <a:ext uri="{FF2B5EF4-FFF2-40B4-BE49-F238E27FC236}">
              <a16:creationId xmlns:a16="http://schemas.microsoft.com/office/drawing/2014/main" id="{1C9EAE58-016A-5198-EF30-D851CBC58B99}"/>
            </a:ext>
          </a:extLst>
        </xdr:cNvPr>
        <xdr:cNvGrpSpPr/>
      </xdr:nvGrpSpPr>
      <xdr:grpSpPr>
        <a:xfrm>
          <a:off x="97380" y="749722"/>
          <a:ext cx="1799425" cy="1118106"/>
          <a:chOff x="97380" y="749722"/>
          <a:chExt cx="1799425" cy="1118106"/>
        </a:xfrm>
      </xdr:grpSpPr>
      <xdr:sp macro="" textlink="$AE$3">
        <xdr:nvSpPr>
          <xdr:cNvPr id="5" name="Rectangle: Rounded Corners 4">
            <a:extLst>
              <a:ext uri="{FF2B5EF4-FFF2-40B4-BE49-F238E27FC236}">
                <a16:creationId xmlns:a16="http://schemas.microsoft.com/office/drawing/2014/main" id="{6A219ACF-A584-7C6A-1A89-5C6EA0C8D3C5}"/>
              </a:ext>
            </a:extLst>
          </xdr:cNvPr>
          <xdr:cNvSpPr/>
        </xdr:nvSpPr>
        <xdr:spPr>
          <a:xfrm>
            <a:off x="97380" y="752615"/>
            <a:ext cx="1799425" cy="1115213"/>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D999AA-C7D0-47CB-BE28-A40B27D6A6D5}" type="TxLink">
              <a:rPr lang="en-US" sz="2400" b="0" i="0" u="none" strike="noStrike">
                <a:solidFill>
                  <a:schemeClr val="bg1"/>
                </a:solidFill>
                <a:latin typeface="Aptos Narrow"/>
                <a:ea typeface="+mn-ea"/>
                <a:cs typeface="+mn-cs"/>
              </a:rPr>
              <a:pPr marL="0" indent="0" algn="ctr"/>
              <a:t> $20,672 </a:t>
            </a:fld>
            <a:endParaRPr lang="en-IN" sz="2400">
              <a:solidFill>
                <a:schemeClr val="bg1"/>
              </a:solidFill>
              <a:latin typeface="+mn-lt"/>
              <a:ea typeface="+mn-ea"/>
              <a:cs typeface="+mn-cs"/>
            </a:endParaRPr>
          </a:p>
        </xdr:txBody>
      </xdr:sp>
      <xdr:sp macro="" textlink="">
        <xdr:nvSpPr>
          <xdr:cNvPr id="43" name="TextBox 42">
            <a:extLst>
              <a:ext uri="{FF2B5EF4-FFF2-40B4-BE49-F238E27FC236}">
                <a16:creationId xmlns:a16="http://schemas.microsoft.com/office/drawing/2014/main" id="{0C68C511-6D3D-1A7E-C87C-96941C66F40F}"/>
              </a:ext>
            </a:extLst>
          </xdr:cNvPr>
          <xdr:cNvSpPr txBox="1"/>
        </xdr:nvSpPr>
        <xdr:spPr>
          <a:xfrm>
            <a:off x="494198" y="749722"/>
            <a:ext cx="10057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050" b="1" i="0">
                <a:solidFill>
                  <a:schemeClr val="bg1"/>
                </a:solidFill>
              </a:rPr>
              <a:t>Total Revenue</a:t>
            </a:r>
          </a:p>
        </xdr:txBody>
      </xdr:sp>
    </xdr:grpSp>
    <xdr:clientData/>
  </xdr:twoCellAnchor>
  <xdr:twoCellAnchor>
    <xdr:from>
      <xdr:col>4</xdr:col>
      <xdr:colOff>28868</xdr:colOff>
      <xdr:row>4</xdr:row>
      <xdr:rowOff>9200</xdr:rowOff>
    </xdr:from>
    <xdr:to>
      <xdr:col>6</xdr:col>
      <xdr:colOff>601659</xdr:colOff>
      <xdr:row>10</xdr:row>
      <xdr:rowOff>9291</xdr:rowOff>
    </xdr:to>
    <xdr:grpSp>
      <xdr:nvGrpSpPr>
        <xdr:cNvPr id="52" name="Group 51">
          <a:extLst>
            <a:ext uri="{FF2B5EF4-FFF2-40B4-BE49-F238E27FC236}">
              <a16:creationId xmlns:a16="http://schemas.microsoft.com/office/drawing/2014/main" id="{7110C430-AE87-F8CE-D92C-58742BF3F07D}"/>
            </a:ext>
          </a:extLst>
        </xdr:cNvPr>
        <xdr:cNvGrpSpPr/>
      </xdr:nvGrpSpPr>
      <xdr:grpSpPr>
        <a:xfrm>
          <a:off x="2482136" y="752615"/>
          <a:ext cx="1799425" cy="1115213"/>
          <a:chOff x="2482136" y="752615"/>
          <a:chExt cx="1799425" cy="1115213"/>
        </a:xfrm>
      </xdr:grpSpPr>
      <xdr:sp macro="" textlink="$AE$4">
        <xdr:nvSpPr>
          <xdr:cNvPr id="6" name="Rectangle: Rounded Corners 5">
            <a:extLst>
              <a:ext uri="{FF2B5EF4-FFF2-40B4-BE49-F238E27FC236}">
                <a16:creationId xmlns:a16="http://schemas.microsoft.com/office/drawing/2014/main" id="{27C62918-547F-1E88-7976-B9A9B0EAF06E}"/>
              </a:ext>
            </a:extLst>
          </xdr:cNvPr>
          <xdr:cNvSpPr/>
        </xdr:nvSpPr>
        <xdr:spPr>
          <a:xfrm>
            <a:off x="2482136" y="752615"/>
            <a:ext cx="1799425" cy="1115213"/>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2C266D5-2C3A-4A66-9412-DB6F7B7EBC2D}" type="TxLink">
              <a:rPr lang="en-US" sz="2400" b="0" i="0" u="none" strike="noStrike">
                <a:solidFill>
                  <a:schemeClr val="bg1"/>
                </a:solidFill>
                <a:latin typeface="Aptos Narrow"/>
                <a:ea typeface="+mn-ea"/>
                <a:cs typeface="+mn-cs"/>
              </a:rPr>
              <a:pPr marL="0" indent="0" algn="ctr"/>
              <a:t> $1,773 </a:t>
            </a:fld>
            <a:endParaRPr lang="en-IN" sz="2400" b="0" i="0" u="none" strike="noStrike">
              <a:solidFill>
                <a:schemeClr val="bg1"/>
              </a:solidFill>
              <a:latin typeface="Aptos Narrow"/>
              <a:ea typeface="+mn-ea"/>
              <a:cs typeface="+mn-cs"/>
            </a:endParaRPr>
          </a:p>
        </xdr:txBody>
      </xdr:sp>
      <xdr:sp macro="" textlink="">
        <xdr:nvSpPr>
          <xdr:cNvPr id="44" name="TextBox 43">
            <a:extLst>
              <a:ext uri="{FF2B5EF4-FFF2-40B4-BE49-F238E27FC236}">
                <a16:creationId xmlns:a16="http://schemas.microsoft.com/office/drawing/2014/main" id="{3EAC5A19-5D87-A90A-D199-94C4AF2F2591}"/>
              </a:ext>
            </a:extLst>
          </xdr:cNvPr>
          <xdr:cNvSpPr txBox="1"/>
        </xdr:nvSpPr>
        <xdr:spPr>
          <a:xfrm>
            <a:off x="2876806" y="753634"/>
            <a:ext cx="101008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050" b="1" i="0">
                <a:solidFill>
                  <a:schemeClr val="bg1"/>
                </a:solidFill>
              </a:rPr>
              <a:t>Total Ad Spend</a:t>
            </a:r>
          </a:p>
        </xdr:txBody>
      </xdr:sp>
    </xdr:grpSp>
    <xdr:clientData/>
  </xdr:twoCellAnchor>
  <xdr:twoCellAnchor>
    <xdr:from>
      <xdr:col>7</xdr:col>
      <xdr:colOff>573672</xdr:colOff>
      <xdr:row>4</xdr:row>
      <xdr:rowOff>9200</xdr:rowOff>
    </xdr:from>
    <xdr:to>
      <xdr:col>10</xdr:col>
      <xdr:colOff>533146</xdr:colOff>
      <xdr:row>10</xdr:row>
      <xdr:rowOff>9291</xdr:rowOff>
    </xdr:to>
    <xdr:grpSp>
      <xdr:nvGrpSpPr>
        <xdr:cNvPr id="51" name="Group 50">
          <a:extLst>
            <a:ext uri="{FF2B5EF4-FFF2-40B4-BE49-F238E27FC236}">
              <a16:creationId xmlns:a16="http://schemas.microsoft.com/office/drawing/2014/main" id="{2D3411BE-C5D4-B855-08BF-DA4682145F31}"/>
            </a:ext>
          </a:extLst>
        </xdr:cNvPr>
        <xdr:cNvGrpSpPr/>
      </xdr:nvGrpSpPr>
      <xdr:grpSpPr>
        <a:xfrm>
          <a:off x="4866892" y="752615"/>
          <a:ext cx="1799425" cy="1115213"/>
          <a:chOff x="4866892" y="752615"/>
          <a:chExt cx="1799425" cy="1115213"/>
        </a:xfrm>
      </xdr:grpSpPr>
      <xdr:sp macro="" textlink="$AE$5">
        <xdr:nvSpPr>
          <xdr:cNvPr id="7" name="Rectangle: Rounded Corners 6">
            <a:extLst>
              <a:ext uri="{FF2B5EF4-FFF2-40B4-BE49-F238E27FC236}">
                <a16:creationId xmlns:a16="http://schemas.microsoft.com/office/drawing/2014/main" id="{E90F66AD-402D-C82D-9BF4-1C3FA23C608C}"/>
              </a:ext>
            </a:extLst>
          </xdr:cNvPr>
          <xdr:cNvSpPr/>
        </xdr:nvSpPr>
        <xdr:spPr>
          <a:xfrm>
            <a:off x="4866892" y="752615"/>
            <a:ext cx="1799425" cy="1115213"/>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421814-EF33-4BAE-82B7-1EC4E8DF6A93}" type="TxLink">
              <a:rPr lang="en-US" sz="2400" b="0" i="0" u="none" strike="noStrike">
                <a:solidFill>
                  <a:schemeClr val="bg1"/>
                </a:solidFill>
                <a:latin typeface="Aptos Narrow"/>
                <a:ea typeface="+mn-ea"/>
                <a:cs typeface="+mn-cs"/>
              </a:rPr>
              <a:pPr marL="0" indent="0" algn="ctr"/>
              <a:t>14.30x</a:t>
            </a:fld>
            <a:endParaRPr lang="en-IN" sz="2400">
              <a:solidFill>
                <a:schemeClr val="bg1"/>
              </a:solidFill>
              <a:latin typeface="+mn-lt"/>
              <a:ea typeface="+mn-ea"/>
              <a:cs typeface="+mn-cs"/>
            </a:endParaRPr>
          </a:p>
        </xdr:txBody>
      </xdr:sp>
      <xdr:sp macro="" textlink="">
        <xdr:nvSpPr>
          <xdr:cNvPr id="45" name="TextBox 44">
            <a:extLst>
              <a:ext uri="{FF2B5EF4-FFF2-40B4-BE49-F238E27FC236}">
                <a16:creationId xmlns:a16="http://schemas.microsoft.com/office/drawing/2014/main" id="{41BF5BC2-443F-FC6F-8400-FC55640466C1}"/>
              </a:ext>
            </a:extLst>
          </xdr:cNvPr>
          <xdr:cNvSpPr txBox="1"/>
        </xdr:nvSpPr>
        <xdr:spPr>
          <a:xfrm>
            <a:off x="5518203" y="753634"/>
            <a:ext cx="496803"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050" b="1" i="0">
                <a:solidFill>
                  <a:schemeClr val="bg1"/>
                </a:solidFill>
              </a:rPr>
              <a:t>ROAS</a:t>
            </a:r>
          </a:p>
        </xdr:txBody>
      </xdr:sp>
    </xdr:grpSp>
    <xdr:clientData/>
  </xdr:twoCellAnchor>
  <xdr:twoCellAnchor>
    <xdr:from>
      <xdr:col>11</xdr:col>
      <xdr:colOff>505160</xdr:colOff>
      <xdr:row>4</xdr:row>
      <xdr:rowOff>9200</xdr:rowOff>
    </xdr:from>
    <xdr:to>
      <xdr:col>14</xdr:col>
      <xdr:colOff>464634</xdr:colOff>
      <xdr:row>10</xdr:row>
      <xdr:rowOff>9291</xdr:rowOff>
    </xdr:to>
    <xdr:grpSp>
      <xdr:nvGrpSpPr>
        <xdr:cNvPr id="53" name="Group 52">
          <a:extLst>
            <a:ext uri="{FF2B5EF4-FFF2-40B4-BE49-F238E27FC236}">
              <a16:creationId xmlns:a16="http://schemas.microsoft.com/office/drawing/2014/main" id="{F92BD656-05E6-6C5F-7741-E6072BCF4C41}"/>
            </a:ext>
          </a:extLst>
        </xdr:cNvPr>
        <xdr:cNvGrpSpPr/>
      </xdr:nvGrpSpPr>
      <xdr:grpSpPr>
        <a:xfrm>
          <a:off x="7251648" y="752615"/>
          <a:ext cx="1799425" cy="1115213"/>
          <a:chOff x="7251648" y="752615"/>
          <a:chExt cx="1799425" cy="1115213"/>
        </a:xfrm>
      </xdr:grpSpPr>
      <xdr:sp macro="" textlink="$AE$6">
        <xdr:nvSpPr>
          <xdr:cNvPr id="8" name="Rectangle: Rounded Corners 7">
            <a:extLst>
              <a:ext uri="{FF2B5EF4-FFF2-40B4-BE49-F238E27FC236}">
                <a16:creationId xmlns:a16="http://schemas.microsoft.com/office/drawing/2014/main" id="{B838D3E9-59D7-C75E-783F-850AB4A11C2B}"/>
              </a:ext>
            </a:extLst>
          </xdr:cNvPr>
          <xdr:cNvSpPr/>
        </xdr:nvSpPr>
        <xdr:spPr>
          <a:xfrm>
            <a:off x="7251648" y="752615"/>
            <a:ext cx="1799425" cy="1115213"/>
          </a:xfrm>
          <a:prstGeom prst="roundRect">
            <a:avLst/>
          </a:prstGeom>
          <a:solidFill>
            <a:srgbClr val="262626"/>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43F5F6-C710-48A8-B25B-37A9B27CB9E4}" type="TxLink">
              <a:rPr lang="en-US" sz="2400" b="0" i="0" u="none" strike="noStrike">
                <a:solidFill>
                  <a:srgbClr val="FFC000"/>
                </a:solidFill>
                <a:latin typeface="Aptos Narrow"/>
                <a:ea typeface="+mn-ea"/>
                <a:cs typeface="+mn-cs"/>
              </a:rPr>
              <a:pPr marL="0" indent="0" algn="ctr"/>
              <a:t> $15,433 </a:t>
            </a:fld>
            <a:endParaRPr lang="en-IN" sz="2400">
              <a:solidFill>
                <a:srgbClr val="FFC000"/>
              </a:solidFill>
              <a:latin typeface="+mn-lt"/>
              <a:ea typeface="+mn-ea"/>
              <a:cs typeface="+mn-cs"/>
            </a:endParaRPr>
          </a:p>
        </xdr:txBody>
      </xdr:sp>
      <xdr:sp macro="" textlink="">
        <xdr:nvSpPr>
          <xdr:cNvPr id="46" name="TextBox 45">
            <a:extLst>
              <a:ext uri="{FF2B5EF4-FFF2-40B4-BE49-F238E27FC236}">
                <a16:creationId xmlns:a16="http://schemas.microsoft.com/office/drawing/2014/main" id="{74C5D779-416A-01D4-6078-9819C78FA411}"/>
              </a:ext>
            </a:extLst>
          </xdr:cNvPr>
          <xdr:cNvSpPr txBox="1"/>
        </xdr:nvSpPr>
        <xdr:spPr>
          <a:xfrm>
            <a:off x="7794852" y="753634"/>
            <a:ext cx="713016"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050" b="1" i="0">
                <a:solidFill>
                  <a:schemeClr val="bg1"/>
                </a:solidFill>
              </a:rPr>
              <a:t>Net Profit</a:t>
            </a:r>
          </a:p>
        </xdr:txBody>
      </xdr:sp>
    </xdr:grpSp>
    <xdr:clientData/>
  </xdr:twoCellAnchor>
  <mc:AlternateContent xmlns:mc="http://schemas.openxmlformats.org/markup-compatibility/2006">
    <mc:Choice xmlns:a14="http://schemas.microsoft.com/office/drawing/2010/main" Requires="a14">
      <xdr:twoCellAnchor editAs="oneCell">
        <xdr:from>
          <xdr:col>14</xdr:col>
          <xdr:colOff>533400</xdr:colOff>
          <xdr:row>40</xdr:row>
          <xdr:rowOff>160020</xdr:rowOff>
        </xdr:from>
        <xdr:to>
          <xdr:col>15</xdr:col>
          <xdr:colOff>541020</xdr:colOff>
          <xdr:row>41</xdr:row>
          <xdr:rowOff>167640</xdr:rowOff>
        </xdr:to>
        <xdr:pic>
          <xdr:nvPicPr>
            <xdr:cNvPr id="4" name="Picture 3">
              <a:extLst>
                <a:ext uri="{FF2B5EF4-FFF2-40B4-BE49-F238E27FC236}">
                  <a16:creationId xmlns:a16="http://schemas.microsoft.com/office/drawing/2014/main" id="{D9A761F2-4A3C-EC37-D4A3-7D099E0D2D5B}"/>
                </a:ext>
              </a:extLst>
            </xdr:cNvPr>
            <xdr:cNvPicPr>
              <a:picLocks noChangeAspect="1" noChangeArrowheads="1"/>
              <a:extLst>
                <a:ext uri="{84589F7E-364E-4C9E-8A38-B11213B215E9}">
                  <a14:cameraTool cellRange="$O$43" spid="_x0000_s1046"/>
                </a:ext>
              </a:extLst>
            </xdr:cNvPicPr>
          </xdr:nvPicPr>
          <xdr:blipFill>
            <a:blip xmlns:r="http://schemas.openxmlformats.org/officeDocument/2006/relationships" r:embed="rId6"/>
            <a:srcRect/>
            <a:stretch>
              <a:fillRect/>
            </a:stretch>
          </xdr:blipFill>
          <xdr:spPr bwMode="auto">
            <a:xfrm>
              <a:off x="9067800" y="7475220"/>
              <a:ext cx="617220" cy="19050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awat" refreshedDate="46223.686748611108" missingItemsLimit="0" createdVersion="8" refreshedVersion="8" minRefreshableVersion="3" recordCount="42" xr:uid="{8FCFA6E7-AA9A-4572-BE65-9D3AA1663048}">
  <cacheSource type="worksheet">
    <worksheetSource name="Merge2"/>
  </cacheSource>
  <cacheFields count="12">
    <cacheField name="Date" numFmtId="14">
      <sharedItems containsSemiMixedTypes="0" containsNonDate="0" containsDate="1" containsString="0" minDate="2026-04-01T00:00:00" maxDate="2026-05-21T00:00:00" count="42">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3T00:00:00"/>
        <d v="2026-05-05T00:00:00"/>
        <d v="2026-05-06T00:00:00"/>
        <d v="2026-05-07T00:00:00"/>
        <d v="2026-05-08T00:00:00"/>
        <d v="2026-05-09T00:00:00"/>
        <d v="2026-05-13T00:00:00"/>
        <d v="2026-05-14T00:00:00"/>
        <d v="2026-05-16T00:00:00"/>
        <d v="2026-05-17T00:00:00"/>
        <d v="2026-05-18T00:00:00"/>
        <d v="2026-05-19T00:00:00"/>
        <d v="2026-05-20T00:00:00"/>
      </sharedItems>
      <fieldGroup par="11"/>
    </cacheField>
    <cacheField name="Total Revenue" numFmtId="164">
      <sharedItems containsSemiMixedTypes="0" containsString="0" containsNumber="1" minValue="43.29" maxValue="1895.42"/>
    </cacheField>
    <cacheField name="Gross Profit" numFmtId="164">
      <sharedItems containsSemiMixedTypes="0" containsString="0" containsNumber="1" minValue="29.369999999999997" maxValue="1540.58"/>
    </cacheField>
    <cacheField name="Platform" numFmtId="0">
      <sharedItems/>
    </cacheField>
    <cacheField name="Spend" numFmtId="164">
      <sharedItems containsSemiMixedTypes="0" containsString="0" containsNumber="1" minValue="21.01" maxValue="98.46"/>
    </cacheField>
    <cacheField name="Clicks" numFmtId="0">
      <sharedItems containsSemiMixedTypes="0" containsString="0" containsNumber="1" containsInteger="1" minValue="87" maxValue="887"/>
    </cacheField>
    <cacheField name="Month" numFmtId="0">
      <sharedItems count="2">
        <s v="April"/>
        <s v="May"/>
      </sharedItems>
    </cacheField>
    <cacheField name="Expense Per Click" numFmtId="0">
      <sharedItems containsSemiMixedTypes="0" containsString="0" containsNumber="1" minValue="3.2000000000000001E-2" maxValue="0.60099999999999998"/>
    </cacheField>
    <cacheField name="Net Profit Per Day" numFmtId="164">
      <sharedItems containsSemiMixedTypes="0" containsString="0" containsNumber="1" minValue="-50.43" maxValue="1460.24"/>
    </cacheField>
    <cacheField name="ROAS" numFmtId="0">
      <sharedItems containsSemiMixedTypes="0" containsString="0" containsNumber="1" minValue="0.61" maxValue="53.47"/>
    </cacheField>
    <cacheField name="Days (Date)" numFmtId="0" databaseField="0">
      <fieldGroup base="0">
        <rangePr groupBy="days" startDate="2026-04-01T00:00:00" endDate="2026-05-21T00:00:00"/>
        <groupItems count="368">
          <s v="&lt;01-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5-2026"/>
        </groupItems>
      </fieldGroup>
    </cacheField>
    <cacheField name="Months (Date)" numFmtId="0" databaseField="0">
      <fieldGroup base="0">
        <rangePr groupBy="months" startDate="2026-04-01T00:00:00" endDate="2026-05-21T00:00:00"/>
        <groupItems count="14">
          <s v="&lt;01-04-2026"/>
          <s v="Jan"/>
          <s v="Feb"/>
          <s v="Mar"/>
          <s v="Apr"/>
          <s v="May"/>
          <s v="Jun"/>
          <s v="Jul"/>
          <s v="Aug"/>
          <s v="Sep"/>
          <s v="Oct"/>
          <s v="Nov"/>
          <s v="Dec"/>
          <s v="&gt;21-05-2026"/>
        </groupItems>
      </fieldGroup>
    </cacheField>
  </cacheFields>
  <extLst>
    <ext xmlns:x14="http://schemas.microsoft.com/office/spreadsheetml/2009/9/main" uri="{725AE2AE-9491-48be-B2B4-4EB974FC3084}">
      <x14:pivotCacheDefinition pivotCacheId="8447391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awat" refreshedDate="46223.686787500003" missingItemsLimit="0" createdVersion="8" refreshedVersion="8" minRefreshableVersion="3" recordCount="120" xr:uid="{37CE024D-28DC-41ED-ACE0-9076D495DE03}">
  <cacheSource type="worksheet">
    <worksheetSource name="Merge1"/>
  </cacheSource>
  <cacheFields count="12">
    <cacheField name="Source.Name" numFmtId="0">
      <sharedItems/>
    </cacheField>
    <cacheField name="Order ID" numFmtId="0">
      <sharedItems/>
    </cacheField>
    <cacheField name="Date" numFmtId="14">
      <sharedItems containsSemiMixedTypes="0" containsNonDate="0" containsDate="1" containsString="0" minDate="2026-04-01T00:00:00" maxDate="2026-05-21T00:00:00"/>
    </cacheField>
    <cacheField name="Product SKU" numFmtId="0">
      <sharedItems count="5">
        <s v="SKU-C303"/>
        <s v="SKU-B202"/>
        <s v="SKU-A101"/>
        <s v="SKU-E505"/>
        <s v="SKU-D404"/>
      </sharedItems>
    </cacheField>
    <cacheField name="Quantity" numFmtId="0">
      <sharedItems containsSemiMixedTypes="0" containsString="0" containsNumber="1" containsInteger="1" minValue="1" maxValue="5"/>
    </cacheField>
    <cacheField name="Gross Sales" numFmtId="164">
      <sharedItems containsSemiMixedTypes="0" containsString="0" containsNumber="1" minValue="25.18" maxValue="599.20000000000005"/>
    </cacheField>
    <cacheField name="Discounts" numFmtId="164">
      <sharedItems containsSemiMixedTypes="0" containsString="0" containsNumber="1" minValue="7.0000000000000007E-2" maxValue="119.37"/>
    </cacheField>
    <cacheField name="Customer City" numFmtId="0">
      <sharedItems/>
    </cacheField>
    <cacheField name="Carrier" numFmtId="0">
      <sharedItems/>
    </cacheField>
    <cacheField name="Shipping Fee" numFmtId="164">
      <sharedItems containsSemiMixedTypes="0" containsString="0" containsNumber="1" minValue="5.43" maxValue="15"/>
    </cacheField>
    <cacheField name="Net Profit" numFmtId="164">
      <sharedItems containsSemiMixedTypes="0" containsString="0" containsNumber="1" minValue="10.900000000000002" maxValue="549.56000000000006"/>
    </cacheField>
    <cacheField name="Month" numFmtId="0">
      <sharedItems/>
    </cacheField>
  </cacheFields>
  <extLst>
    <ext xmlns:x14="http://schemas.microsoft.com/office/spreadsheetml/2009/9/main" uri="{725AE2AE-9491-48be-B2B4-4EB974FC3084}">
      <x14:pivotCacheDefinition pivotCacheId="2519425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awat" refreshedDate="46223.686792824075" createdVersion="8" refreshedVersion="8" minRefreshableVersion="3" recordCount="42" xr:uid="{33B7EA72-EC6F-442E-9CBC-BE9DD4F324D7}">
  <cacheSource type="worksheet">
    <worksheetSource name="Merge3"/>
  </cacheSource>
  <cacheFields count="9">
    <cacheField name="Date" numFmtId="14">
      <sharedItems containsSemiMixedTypes="0" containsNonDate="0" containsDate="1" containsString="0" minDate="2026-04-01T00:00:00" maxDate="2026-05-21T00:00:00" count="42">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3T00:00:00"/>
        <d v="2026-05-05T00:00:00"/>
        <d v="2026-05-06T00:00:00"/>
        <d v="2026-05-07T00:00:00"/>
        <d v="2026-05-08T00:00:00"/>
        <d v="2026-05-09T00:00:00"/>
        <d v="2026-05-13T00:00:00"/>
        <d v="2026-05-14T00:00:00"/>
        <d v="2026-05-16T00:00:00"/>
        <d v="2026-05-17T00:00:00"/>
        <d v="2026-05-18T00:00:00"/>
        <d v="2026-05-19T00:00:00"/>
        <d v="2026-05-20T00:00:00"/>
      </sharedItems>
      <fieldGroup par="8"/>
    </cacheField>
    <cacheField name="Gross Sales" numFmtId="0">
      <sharedItems containsSemiMixedTypes="0" containsString="0" containsNumber="1" minValue="43.29" maxValue="1895.42"/>
    </cacheField>
    <cacheField name="Discount" numFmtId="0">
      <sharedItems containsSemiMixedTypes="0" containsString="0" containsNumber="1" minValue="7.0000000000000007E-2" maxValue="301.70000000000005"/>
    </cacheField>
    <cacheField name="Shipping" numFmtId="0">
      <sharedItems containsSemiMixedTypes="0" containsString="0" containsNumber="1" minValue="5.43" maxValue="63.230000000000004"/>
    </cacheField>
    <cacheField name="Spend" numFmtId="0">
      <sharedItems containsSemiMixedTypes="0" containsString="0" containsNumber="1" minValue="21.01" maxValue="98.46"/>
    </cacheField>
    <cacheField name="Net Profit" numFmtId="0">
      <sharedItems containsSemiMixedTypes="0" containsString="0" containsNumber="1" minValue="-50.43" maxValue="1460.24"/>
    </cacheField>
    <cacheField name="Ads_Input.Month" numFmtId="0">
      <sharedItems count="2">
        <s v="April"/>
        <s v="May"/>
      </sharedItems>
    </cacheField>
    <cacheField name="Days (Date)" numFmtId="0" databaseField="0">
      <fieldGroup base="0">
        <rangePr groupBy="days" startDate="2026-04-01T00:00:00" endDate="2026-05-21T00:00:00"/>
        <groupItems count="368">
          <s v="&lt;01-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5-2026"/>
        </groupItems>
      </fieldGroup>
    </cacheField>
    <cacheField name="Months (Date)" numFmtId="0" databaseField="0">
      <fieldGroup base="0">
        <rangePr groupBy="months" startDate="2026-04-01T00:00:00" endDate="2026-05-21T00:00:00"/>
        <groupItems count="14">
          <s v="&lt;01-04-2026"/>
          <s v="Jan"/>
          <s v="Feb"/>
          <s v="Mar"/>
          <s v="Apr"/>
          <s v="May"/>
          <s v="Jun"/>
          <s v="Jul"/>
          <s v="Aug"/>
          <s v="Sep"/>
          <s v="Oct"/>
          <s v="Nov"/>
          <s v="Dec"/>
          <s v="&gt;21-0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n v="780.18"/>
    <n v="642.24"/>
    <s v="Google"/>
    <n v="77.930000000000007"/>
    <n v="558"/>
    <x v="0"/>
    <n v="0.14000000000000001"/>
    <n v="564.30999999999995"/>
    <n v="10.01"/>
  </r>
  <r>
    <x v="1"/>
    <n v="556.56999999999994"/>
    <n v="466.5"/>
    <s v="Meta"/>
    <n v="98.46"/>
    <n v="626"/>
    <x v="0"/>
    <n v="0.157"/>
    <n v="368.04"/>
    <n v="5.65"/>
  </r>
  <r>
    <x v="2"/>
    <n v="1356.19"/>
    <n v="1109.19"/>
    <s v="Meta"/>
    <n v="92.55"/>
    <n v="686"/>
    <x v="0"/>
    <n v="0.13500000000000001"/>
    <n v="1016.6400000000001"/>
    <n v="14.65"/>
  </r>
  <r>
    <x v="3"/>
    <n v="1428.84"/>
    <n v="1189.0100000000002"/>
    <s v="Meta"/>
    <n v="26.72"/>
    <n v="518"/>
    <x v="0"/>
    <n v="5.1999999999999998E-2"/>
    <n v="1162.2900000000002"/>
    <n v="53.47"/>
  </r>
  <r>
    <x v="4"/>
    <n v="701.58999999999992"/>
    <n v="607.45999999999992"/>
    <s v="Meta"/>
    <n v="89.35"/>
    <n v="266"/>
    <x v="0"/>
    <n v="0.33600000000000002"/>
    <n v="518.1099999999999"/>
    <n v="7.85"/>
  </r>
  <r>
    <x v="5"/>
    <n v="491.77"/>
    <n v="442.97"/>
    <s v="Meta"/>
    <n v="40.81"/>
    <n v="415"/>
    <x v="0"/>
    <n v="9.8000000000000004E-2"/>
    <n v="402.16"/>
    <n v="12.05"/>
  </r>
  <r>
    <x v="6"/>
    <n v="539.9"/>
    <n v="451.14"/>
    <s v="Meta"/>
    <n v="56.38"/>
    <n v="425"/>
    <x v="0"/>
    <n v="0.13300000000000001"/>
    <n v="394.76"/>
    <n v="9.58"/>
  </r>
  <r>
    <x v="7"/>
    <n v="1200.9000000000001"/>
    <n v="1022.3"/>
    <s v="Google"/>
    <n v="42.26"/>
    <n v="511"/>
    <x v="0"/>
    <n v="8.3000000000000004E-2"/>
    <n v="980.04"/>
    <n v="28.42"/>
  </r>
  <r>
    <x v="8"/>
    <n v="857.79000000000008"/>
    <n v="685.6099999999999"/>
    <s v="Google"/>
    <n v="86.79"/>
    <n v="561"/>
    <x v="0"/>
    <n v="0.155"/>
    <n v="598.81999999999994"/>
    <n v="9.8800000000000008"/>
  </r>
  <r>
    <x v="9"/>
    <n v="378.2"/>
    <n v="310.88"/>
    <s v="Meta"/>
    <n v="79.92"/>
    <n v="133"/>
    <x v="0"/>
    <n v="0.60099999999999998"/>
    <n v="230.95999999999998"/>
    <n v="4.7300000000000004"/>
  </r>
  <r>
    <x v="10"/>
    <n v="231.85"/>
    <n v="190.73"/>
    <s v="Google"/>
    <n v="37.94"/>
    <n v="150"/>
    <x v="0"/>
    <n v="0.253"/>
    <n v="152.79"/>
    <n v="6.11"/>
  </r>
  <r>
    <x v="11"/>
    <n v="1895.42"/>
    <n v="1540.58"/>
    <s v="Meta"/>
    <n v="80.34"/>
    <n v="333"/>
    <x v="0"/>
    <n v="0.24099999999999999"/>
    <n v="1460.24"/>
    <n v="23.59"/>
  </r>
  <r>
    <x v="12"/>
    <n v="931.25"/>
    <n v="776.05"/>
    <s v="Meta"/>
    <n v="87.14"/>
    <n v="716"/>
    <x v="0"/>
    <n v="0.122"/>
    <n v="688.91"/>
    <n v="10.69"/>
  </r>
  <r>
    <x v="13"/>
    <n v="675.45"/>
    <n v="528.69000000000005"/>
    <s v="Meta"/>
    <n v="39.08"/>
    <n v="564"/>
    <x v="0"/>
    <n v="6.9000000000000006E-2"/>
    <n v="489.61000000000007"/>
    <n v="17.28"/>
  </r>
  <r>
    <x v="14"/>
    <n v="530.98"/>
    <n v="488.26999999999992"/>
    <s v="Meta"/>
    <n v="65.12"/>
    <n v="303"/>
    <x v="0"/>
    <n v="0.215"/>
    <n v="423.14999999999992"/>
    <n v="8.15"/>
  </r>
  <r>
    <x v="15"/>
    <n v="102.63"/>
    <n v="81.159999999999982"/>
    <s v="Google"/>
    <n v="33.42"/>
    <n v="701"/>
    <x v="0"/>
    <n v="4.8000000000000001E-2"/>
    <n v="47.739999999999981"/>
    <n v="3.07"/>
  </r>
  <r>
    <x v="16"/>
    <n v="982.14"/>
    <n v="823.51"/>
    <s v="Meta"/>
    <n v="82.22"/>
    <n v="247"/>
    <x v="0"/>
    <n v="0.33300000000000002"/>
    <n v="741.29"/>
    <n v="11.95"/>
  </r>
  <r>
    <x v="17"/>
    <n v="522.30999999999995"/>
    <n v="424.41000000000008"/>
    <s v="Google"/>
    <n v="28.65"/>
    <n v="106"/>
    <x v="0"/>
    <n v="0.27"/>
    <n v="395.7600000000001"/>
    <n v="18.23"/>
  </r>
  <r>
    <x v="18"/>
    <n v="331.25"/>
    <n v="273.49"/>
    <s v="Google"/>
    <n v="66.06"/>
    <n v="464"/>
    <x v="0"/>
    <n v="0.14199999999999999"/>
    <n v="207.43"/>
    <n v="5.01"/>
  </r>
  <r>
    <x v="19"/>
    <n v="923.1"/>
    <n v="735.69"/>
    <s v="Google"/>
    <n v="95.32"/>
    <n v="283"/>
    <x v="0"/>
    <n v="0.33700000000000002"/>
    <n v="640.37000000000012"/>
    <n v="9.68"/>
  </r>
  <r>
    <x v="20"/>
    <n v="509.03999999999996"/>
    <n v="469.12"/>
    <s v="Meta"/>
    <n v="67.37"/>
    <n v="722"/>
    <x v="0"/>
    <n v="9.2999999999999999E-2"/>
    <n v="401.75"/>
    <n v="7.56"/>
  </r>
  <r>
    <x v="21"/>
    <n v="800.85000000000014"/>
    <n v="660.85"/>
    <s v="Meta"/>
    <n v="28.15"/>
    <n v="871"/>
    <x v="0"/>
    <n v="3.2000000000000001E-2"/>
    <n v="632.70000000000005"/>
    <n v="28.45"/>
  </r>
  <r>
    <x v="22"/>
    <n v="393.05"/>
    <n v="307.15000000000003"/>
    <s v="Google"/>
    <n v="88.02"/>
    <n v="694"/>
    <x v="0"/>
    <n v="0.127"/>
    <n v="219.13000000000005"/>
    <n v="4.47"/>
  </r>
  <r>
    <x v="23"/>
    <n v="493.08999999999992"/>
    <n v="411.2"/>
    <s v="Meta"/>
    <n v="83.7"/>
    <n v="659"/>
    <x v="0"/>
    <n v="0.127"/>
    <n v="327.5"/>
    <n v="5.89"/>
  </r>
  <r>
    <x v="24"/>
    <n v="951.38999999999987"/>
    <n v="788.17000000000007"/>
    <s v="Meta"/>
    <n v="47.78"/>
    <n v="518"/>
    <x v="0"/>
    <n v="9.1999999999999998E-2"/>
    <n v="740.3900000000001"/>
    <n v="19.91"/>
  </r>
  <r>
    <x v="25"/>
    <n v="492.12"/>
    <n v="443.8"/>
    <s v="Google"/>
    <n v="25.52"/>
    <n v="743"/>
    <x v="0"/>
    <n v="3.4000000000000002E-2"/>
    <n v="418.28000000000003"/>
    <n v="19.28"/>
  </r>
  <r>
    <x v="26"/>
    <n v="518.72"/>
    <n v="445.34"/>
    <s v="Google"/>
    <n v="21.01"/>
    <n v="510"/>
    <x v="0"/>
    <n v="4.1000000000000002E-2"/>
    <n v="424.33"/>
    <n v="24.69"/>
  </r>
  <r>
    <x v="27"/>
    <n v="913.39"/>
    <n v="723.41"/>
    <s v="Google"/>
    <n v="28.44"/>
    <n v="450"/>
    <x v="0"/>
    <n v="6.3E-2"/>
    <n v="694.96999999999991"/>
    <n v="32.119999999999997"/>
  </r>
  <r>
    <x v="28"/>
    <n v="182.28"/>
    <n v="167.41"/>
    <s v="Google"/>
    <n v="76.58"/>
    <n v="525"/>
    <x v="0"/>
    <n v="0.14599999999999999"/>
    <n v="90.83"/>
    <n v="2.38"/>
  </r>
  <r>
    <x v="29"/>
    <n v="641.46"/>
    <n v="515.6099999999999"/>
    <s v="Meta"/>
    <n v="83.41"/>
    <n v="887"/>
    <x v="1"/>
    <n v="9.4E-2"/>
    <n v="432.19999999999993"/>
    <n v="7.69"/>
  </r>
  <r>
    <x v="30"/>
    <n v="430.6"/>
    <n v="410.44"/>
    <s v="Google"/>
    <n v="85.79"/>
    <n v="778"/>
    <x v="1"/>
    <n v="0.11"/>
    <n v="324.64999999999998"/>
    <n v="5.0199999999999996"/>
  </r>
  <r>
    <x v="31"/>
    <n v="43.29"/>
    <n v="30.93"/>
    <s v="Meta"/>
    <n v="32.18"/>
    <n v="756"/>
    <x v="1"/>
    <n v="4.2999999999999997E-2"/>
    <n v="-1.25"/>
    <n v="1.35"/>
  </r>
  <r>
    <x v="32"/>
    <n v="587.65"/>
    <n v="520.48"/>
    <s v="Meta"/>
    <n v="88"/>
    <n v="426"/>
    <x v="1"/>
    <n v="0.20699999999999999"/>
    <n v="432.48"/>
    <n v="6.68"/>
  </r>
  <r>
    <x v="33"/>
    <n v="336.61"/>
    <n v="248.6"/>
    <s v="Meta"/>
    <n v="95.75"/>
    <n v="621"/>
    <x v="1"/>
    <n v="0.154"/>
    <n v="152.85"/>
    <n v="3.52"/>
  </r>
  <r>
    <x v="34"/>
    <n v="325.44"/>
    <n v="309.62"/>
    <s v="Meta"/>
    <n v="57.52"/>
    <n v="492"/>
    <x v="1"/>
    <n v="0.11700000000000001"/>
    <n v="252.1"/>
    <n v="5.66"/>
  </r>
  <r>
    <x v="35"/>
    <n v="768.81999999999994"/>
    <n v="693.89"/>
    <s v="Meta"/>
    <n v="41.55"/>
    <n v="87"/>
    <x v="1"/>
    <n v="0.47799999999999998"/>
    <n v="652.34"/>
    <n v="18.5"/>
  </r>
  <r>
    <x v="36"/>
    <n v="569.15"/>
    <n v="549.56000000000006"/>
    <s v="Google"/>
    <n v="36.299999999999997"/>
    <n v="627"/>
    <x v="1"/>
    <n v="5.8000000000000003E-2"/>
    <n v="513.2600000000001"/>
    <n v="15.68"/>
  </r>
  <r>
    <x v="37"/>
    <n v="99.84"/>
    <n v="87.04"/>
    <s v="Meta"/>
    <n v="56.97"/>
    <n v="282"/>
    <x v="1"/>
    <n v="0.20200000000000001"/>
    <n v="30.070000000000007"/>
    <n v="1.75"/>
  </r>
  <r>
    <x v="38"/>
    <n v="242.55"/>
    <n v="203.44"/>
    <s v="Google"/>
    <n v="98.14"/>
    <n v="446"/>
    <x v="1"/>
    <n v="0.22"/>
    <n v="105.3"/>
    <n v="2.4700000000000002"/>
  </r>
  <r>
    <x v="39"/>
    <n v="105.08"/>
    <n v="87.86"/>
    <s v="Meta"/>
    <n v="37.270000000000003"/>
    <n v="812"/>
    <x v="1"/>
    <n v="4.5999999999999999E-2"/>
    <n v="50.589999999999996"/>
    <n v="2.82"/>
  </r>
  <r>
    <x v="40"/>
    <n v="48.51"/>
    <n v="29.369999999999997"/>
    <s v="Meta"/>
    <n v="79.8"/>
    <n v="532"/>
    <x v="1"/>
    <n v="0.15"/>
    <n v="-50.43"/>
    <n v="0.61"/>
  </r>
  <r>
    <x v="41"/>
    <n v="901.71"/>
    <n v="764.04"/>
    <s v="Meta"/>
    <n v="95.51"/>
    <n v="756"/>
    <x v="1"/>
    <n v="0.126"/>
    <n v="668.53"/>
    <n v="9.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shopify_sales_april2026.csv"/>
    <s v="#1001"/>
    <d v="2026-04-01T00:00:00"/>
    <x v="0"/>
    <n v="1"/>
    <n v="78.959999999999994"/>
    <n v="2.7"/>
    <s v="Hyderabad"/>
    <s v="BlueDart"/>
    <n v="12.34"/>
    <n v="63.919999999999987"/>
    <s v="April"/>
  </r>
  <r>
    <s v="shopify_sales_april2026.csv"/>
    <s v="#1002"/>
    <d v="2026-04-01T00:00:00"/>
    <x v="1"/>
    <n v="4"/>
    <n v="219.36"/>
    <n v="43.41"/>
    <s v="Jaipur"/>
    <s v="Delhivery"/>
    <n v="11.16"/>
    <n v="164.79000000000002"/>
    <s v="April"/>
  </r>
  <r>
    <s v="shopify_sales_april2026.csv"/>
    <s v="#1003"/>
    <d v="2026-04-01T00:00:00"/>
    <x v="1"/>
    <n v="3"/>
    <n v="310.5"/>
    <n v="48.19"/>
    <s v="Hyderabad"/>
    <s v="Delhivery"/>
    <n v="9.65"/>
    <n v="252.66"/>
    <s v="April"/>
  </r>
  <r>
    <s v="shopify_sales_april2026.csv"/>
    <s v="#1004"/>
    <d v="2026-04-01T00:00:00"/>
    <x v="2"/>
    <n v="3"/>
    <n v="171.36"/>
    <n v="2.27"/>
    <s v="Lucknow"/>
    <s v="Delhivery"/>
    <n v="8.2200000000000006"/>
    <n v="160.87"/>
    <s v="April"/>
  </r>
  <r>
    <s v="shopify_sales_april2026.csv"/>
    <s v="#1005"/>
    <d v="2026-04-02T00:00:00"/>
    <x v="0"/>
    <n v="2"/>
    <n v="167.64"/>
    <n v="13.26"/>
    <s v="Ahmedabad"/>
    <s v="BlueDart"/>
    <n v="13.31"/>
    <n v="141.07"/>
    <s v="April"/>
  </r>
  <r>
    <s v="shopify_sales_april2026.csv"/>
    <s v="#1006"/>
    <d v="2026-04-02T00:00:00"/>
    <x v="1"/>
    <n v="3"/>
    <n v="88.98"/>
    <n v="13.26"/>
    <s v="Jaipur"/>
    <s v="BlueDart"/>
    <n v="7.79"/>
    <n v="67.929999999999993"/>
    <s v="April"/>
  </r>
  <r>
    <s v="shopify_sales_april2026.csv"/>
    <s v="#1007"/>
    <d v="2026-04-02T00:00:00"/>
    <x v="0"/>
    <n v="5"/>
    <n v="299.95"/>
    <n v="35.01"/>
    <s v="Pune"/>
    <s v="Delhivery"/>
    <n v="7.44"/>
    <n v="257.5"/>
    <s v="April"/>
  </r>
  <r>
    <s v="shopify_sales_april2026.csv"/>
    <s v="#1008"/>
    <d v="2026-04-03T00:00:00"/>
    <x v="1"/>
    <n v="2"/>
    <n v="137"/>
    <n v="2.4900000000000002"/>
    <s v="Mumbai"/>
    <s v="Delhivery"/>
    <n v="10.7"/>
    <n v="123.80999999999999"/>
    <s v="April"/>
  </r>
  <r>
    <s v="shopify_sales_april2026.csv"/>
    <s v="#1009"/>
    <d v="2026-04-03T00:00:00"/>
    <x v="2"/>
    <n v="2"/>
    <n v="161.76"/>
    <n v="25.63"/>
    <s v="Kolkata"/>
    <s v="Delhivery"/>
    <n v="8.36"/>
    <n v="127.77"/>
    <s v="April"/>
  </r>
  <r>
    <s v="shopify_sales_april2026.csv"/>
    <s v="#1010"/>
    <d v="2026-04-03T00:00:00"/>
    <x v="3"/>
    <n v="1"/>
    <n v="55.4"/>
    <n v="6.6"/>
    <s v="Ahmedabad"/>
    <s v="Delhivery"/>
    <n v="13.51"/>
    <n v="35.29"/>
    <s v="April"/>
  </r>
  <r>
    <s v="shopify_sales_april2026.csv"/>
    <s v="#1011"/>
    <d v="2026-04-03T00:00:00"/>
    <x v="3"/>
    <n v="3"/>
    <n v="350.88"/>
    <n v="60.41"/>
    <s v="Mumbai"/>
    <s v="BlueDart"/>
    <n v="9.8800000000000008"/>
    <n v="280.59000000000003"/>
    <s v="April"/>
  </r>
  <r>
    <s v="shopify_sales_april2026.csv"/>
    <s v="#1012"/>
    <d v="2026-04-03T00:00:00"/>
    <x v="2"/>
    <n v="5"/>
    <n v="469.2"/>
    <n v="72.13"/>
    <s v="Pune"/>
    <s v="Delhivery"/>
    <n v="12.98"/>
    <n v="384.09"/>
    <s v="April"/>
  </r>
  <r>
    <s v="shopify_sales_april2026.csv"/>
    <s v="#1013"/>
    <d v="2026-04-03T00:00:00"/>
    <x v="2"/>
    <n v="3"/>
    <n v="181.95"/>
    <n v="16.510000000000002"/>
    <s v="Chennai"/>
    <s v="Delhivery"/>
    <n v="7.8"/>
    <n v="157.63999999999999"/>
    <s v="April"/>
  </r>
  <r>
    <s v="shopify_sales_april2026.csv"/>
    <s v="#1014"/>
    <d v="2026-04-04T00:00:00"/>
    <x v="3"/>
    <n v="2"/>
    <n v="136.62"/>
    <n v="2.91"/>
    <s v="Chennai"/>
    <s v="Delhivery"/>
    <n v="10.56"/>
    <n v="123.15"/>
    <s v="April"/>
  </r>
  <r>
    <s v="shopify_sales_april2026.csv"/>
    <s v="#1015"/>
    <d v="2026-04-04T00:00:00"/>
    <x v="3"/>
    <n v="5"/>
    <n v="179.45"/>
    <n v="13.42"/>
    <s v="Bengaluru"/>
    <s v="BlueDart"/>
    <n v="5.86"/>
    <n v="160.16999999999999"/>
    <s v="April"/>
  </r>
  <r>
    <s v="shopify_sales_april2026.csv"/>
    <s v="#1016"/>
    <d v="2026-04-04T00:00:00"/>
    <x v="3"/>
    <n v="5"/>
    <n v="557.20000000000005"/>
    <n v="66.75"/>
    <s v="Ahmedabad"/>
    <s v="Delhivery"/>
    <n v="9.89"/>
    <n v="480.56000000000006"/>
    <s v="April"/>
  </r>
  <r>
    <s v="shopify_sales_april2026.csv"/>
    <s v="#1017"/>
    <d v="2026-04-04T00:00:00"/>
    <x v="2"/>
    <n v="1"/>
    <n v="112.56"/>
    <n v="19.78"/>
    <s v="Chennai"/>
    <s v="BlueDart"/>
    <n v="11.91"/>
    <n v="80.87"/>
    <s v="April"/>
  </r>
  <r>
    <s v="shopify_sales_april2026.csv"/>
    <s v="#1018"/>
    <d v="2026-04-04T00:00:00"/>
    <x v="1"/>
    <n v="1"/>
    <n v="40.29"/>
    <n v="4.57"/>
    <s v="Delhi"/>
    <s v="Delhivery"/>
    <n v="9.48"/>
    <n v="26.24"/>
    <s v="April"/>
  </r>
  <r>
    <s v="shopify_sales_april2026.csv"/>
    <s v="#1019"/>
    <d v="2026-04-04T00:00:00"/>
    <x v="2"/>
    <n v="4"/>
    <n v="402.72"/>
    <n v="78.77"/>
    <s v="Jaipur"/>
    <s v="BlueDart"/>
    <n v="5.93"/>
    <n v="318.02000000000004"/>
    <s v="April"/>
  </r>
  <r>
    <s v="shopify_sales_april2026.csv"/>
    <s v="#1020"/>
    <d v="2026-04-05T00:00:00"/>
    <x v="1"/>
    <n v="2"/>
    <n v="168.54"/>
    <n v="31.92"/>
    <s v="Bengaluru"/>
    <s v="BlueDart"/>
    <n v="9.0399999999999991"/>
    <n v="127.58000000000001"/>
    <s v="April"/>
  </r>
  <r>
    <s v="shopify_sales_april2026.csv"/>
    <s v="#1021"/>
    <d v="2026-04-05T00:00:00"/>
    <x v="0"/>
    <n v="5"/>
    <n v="533.04999999999995"/>
    <n v="45.11"/>
    <s v="Hyderabad"/>
    <s v="BlueDart"/>
    <n v="8.06"/>
    <n v="479.87999999999994"/>
    <s v="April"/>
  </r>
  <r>
    <s v="shopify_sales_april2026.csv"/>
    <s v="#1022"/>
    <d v="2026-04-06T00:00:00"/>
    <x v="3"/>
    <n v="2"/>
    <n v="179.72"/>
    <n v="14.34"/>
    <s v="Pune"/>
    <s v="Delhivery"/>
    <n v="9.73"/>
    <n v="155.65"/>
    <s v="April"/>
  </r>
  <r>
    <s v="shopify_sales_april2026.csv"/>
    <s v="#1023"/>
    <d v="2026-04-06T00:00:00"/>
    <x v="4"/>
    <n v="5"/>
    <n v="312.05"/>
    <n v="15.47"/>
    <s v="Delhi"/>
    <s v="Delhivery"/>
    <n v="9.26"/>
    <n v="287.32"/>
    <s v="April"/>
  </r>
  <r>
    <s v="shopify_sales_april2026.csv"/>
    <s v="#1024"/>
    <d v="2026-04-07T00:00:00"/>
    <x v="0"/>
    <n v="1"/>
    <n v="76.77"/>
    <n v="3.53"/>
    <s v="Hyderabad"/>
    <s v="Delhivery"/>
    <n v="8.52"/>
    <n v="64.72"/>
    <s v="April"/>
  </r>
  <r>
    <s v="shopify_sales_april2026.csv"/>
    <s v="#1025"/>
    <d v="2026-04-07T00:00:00"/>
    <x v="2"/>
    <n v="1"/>
    <n v="89.32"/>
    <n v="1.05"/>
    <s v="Delhi"/>
    <s v="Delhivery"/>
    <n v="7.71"/>
    <n v="80.56"/>
    <s v="April"/>
  </r>
  <r>
    <s v="shopify_sales_april2026.csv"/>
    <s v="#1026"/>
    <d v="2026-04-07T00:00:00"/>
    <x v="2"/>
    <n v="3"/>
    <n v="67.319999999999993"/>
    <n v="3.2"/>
    <s v="Ahmedabad"/>
    <s v="Delhivery"/>
    <n v="7.31"/>
    <n v="56.809999999999988"/>
    <s v="April"/>
  </r>
  <r>
    <s v="shopify_sales_april2026.csv"/>
    <s v="#1027"/>
    <d v="2026-04-07T00:00:00"/>
    <x v="1"/>
    <n v="5"/>
    <n v="144.44999999999999"/>
    <n v="27.03"/>
    <s v="Lucknow"/>
    <s v="BlueDart"/>
    <n v="8.16"/>
    <n v="109.25999999999999"/>
    <s v="April"/>
  </r>
  <r>
    <s v="shopify_sales_april2026.csv"/>
    <s v="#1028"/>
    <d v="2026-04-07T00:00:00"/>
    <x v="3"/>
    <n v="4"/>
    <n v="162.04"/>
    <n v="15.33"/>
    <s v="Kolkata"/>
    <s v="BlueDart"/>
    <n v="6.92"/>
    <n v="139.79"/>
    <s v="April"/>
  </r>
  <r>
    <s v="shopify_sales_april2026.csv"/>
    <s v="#1029"/>
    <d v="2026-04-08T00:00:00"/>
    <x v="1"/>
    <n v="1"/>
    <n v="25.18"/>
    <n v="2.17"/>
    <s v="Kolkata"/>
    <s v="Delhivery"/>
    <n v="7.76"/>
    <n v="15.249999999999998"/>
    <s v="April"/>
  </r>
  <r>
    <s v="shopify_sales_april2026.csv"/>
    <s v="#1030"/>
    <d v="2026-04-08T00:00:00"/>
    <x v="4"/>
    <n v="4"/>
    <n v="422.8"/>
    <n v="4.58"/>
    <s v="Delhi"/>
    <s v="Delhivery"/>
    <n v="14.81"/>
    <n v="403.41"/>
    <s v="April"/>
  </r>
  <r>
    <s v="shopify_sales_april2026.csv"/>
    <s v="#1031"/>
    <d v="2026-04-08T00:00:00"/>
    <x v="2"/>
    <n v="4"/>
    <n v="365.84"/>
    <n v="58.58"/>
    <s v="Delhi"/>
    <s v="BlueDart"/>
    <n v="7.96"/>
    <n v="299.3"/>
    <s v="April"/>
  </r>
  <r>
    <s v="shopify_sales_april2026.csv"/>
    <s v="#1032"/>
    <d v="2026-04-08T00:00:00"/>
    <x v="1"/>
    <n v="2"/>
    <n v="69.94"/>
    <n v="6.28"/>
    <s v="Kolkata"/>
    <s v="Delhivery"/>
    <n v="6.79"/>
    <n v="56.87"/>
    <s v="April"/>
  </r>
  <r>
    <s v="shopify_sales_april2026.csv"/>
    <s v="#1033"/>
    <d v="2026-04-08T00:00:00"/>
    <x v="1"/>
    <n v="3"/>
    <n v="190.74"/>
    <n v="33.36"/>
    <s v="Delhi"/>
    <s v="BlueDart"/>
    <n v="12.08"/>
    <n v="145.29999999999998"/>
    <s v="April"/>
  </r>
  <r>
    <s v="shopify_sales_april2026.csv"/>
    <s v="#1034"/>
    <d v="2026-04-08T00:00:00"/>
    <x v="4"/>
    <n v="5"/>
    <n v="126.4"/>
    <n v="16.489999999999998"/>
    <s v="Jaipur"/>
    <s v="BlueDart"/>
    <n v="7.74"/>
    <n v="102.17000000000002"/>
    <s v="April"/>
  </r>
  <r>
    <s v="shopify_sales_april2026.csv"/>
    <s v="#1035"/>
    <d v="2026-04-09T00:00:00"/>
    <x v="2"/>
    <n v="1"/>
    <n v="112.27"/>
    <n v="19.059999999999999"/>
    <s v="Bengaluru"/>
    <s v="BlueDart"/>
    <n v="10.53"/>
    <n v="82.679999999999993"/>
    <s v="April"/>
  </r>
  <r>
    <s v="shopify_sales_april2026.csv"/>
    <s v="#1036"/>
    <d v="2026-04-09T00:00:00"/>
    <x v="4"/>
    <n v="4"/>
    <n v="262.16000000000003"/>
    <n v="45.34"/>
    <s v="Mumbai"/>
    <s v="BlueDart"/>
    <n v="11.38"/>
    <n v="205.44000000000003"/>
    <s v="April"/>
  </r>
  <r>
    <s v="shopify_sales_april2026.csv"/>
    <s v="#1037"/>
    <d v="2026-04-09T00:00:00"/>
    <x v="1"/>
    <n v="4"/>
    <n v="60.92"/>
    <n v="4.76"/>
    <s v="Ahmedabad"/>
    <s v="Delhivery"/>
    <n v="6.03"/>
    <n v="50.13"/>
    <s v="April"/>
  </r>
  <r>
    <s v="shopify_sales_april2026.csv"/>
    <s v="#1038"/>
    <d v="2026-04-09T00:00:00"/>
    <x v="0"/>
    <n v="4"/>
    <n v="352.56"/>
    <n v="51.51"/>
    <s v="Jaipur"/>
    <s v="BlueDart"/>
    <n v="10.74"/>
    <n v="290.31"/>
    <s v="April"/>
  </r>
  <r>
    <s v="shopify_sales_april2026.csv"/>
    <s v="#1039"/>
    <d v="2026-04-09T00:00:00"/>
    <x v="4"/>
    <n v="2"/>
    <n v="69.88"/>
    <n v="3.04"/>
    <s v="Mumbai"/>
    <s v="Delhivery"/>
    <n v="9.7899999999999991"/>
    <n v="57.04999999999999"/>
    <s v="April"/>
  </r>
  <r>
    <s v="shopify_sales_april2026.csv"/>
    <s v="#1040"/>
    <d v="2026-04-10T00:00:00"/>
    <x v="3"/>
    <n v="5"/>
    <n v="107"/>
    <n v="6.71"/>
    <s v="Mumbai"/>
    <s v="Delhivery"/>
    <n v="6.84"/>
    <n v="93.45"/>
    <s v="April"/>
  </r>
  <r>
    <s v="shopify_sales_april2026.csv"/>
    <s v="#1041"/>
    <d v="2026-04-10T00:00:00"/>
    <x v="3"/>
    <n v="4"/>
    <n v="271.2"/>
    <n v="46.25"/>
    <s v="Bengaluru"/>
    <s v="BlueDart"/>
    <n v="7.52"/>
    <n v="217.42999999999998"/>
    <s v="April"/>
  </r>
  <r>
    <s v="shopify_sales_april2026.csv"/>
    <s v="#1042"/>
    <d v="2026-04-11T00:00:00"/>
    <x v="2"/>
    <n v="5"/>
    <n v="117.05"/>
    <n v="4.3499999999999996"/>
    <s v="Lucknow"/>
    <s v="Delhivery"/>
    <n v="6.14"/>
    <n v="106.56"/>
    <s v="April"/>
  </r>
  <r>
    <s v="shopify_sales_april2026.csv"/>
    <s v="#1043"/>
    <d v="2026-04-11T00:00:00"/>
    <x v="2"/>
    <n v="2"/>
    <n v="114.8"/>
    <n v="21.62"/>
    <s v="Lucknow"/>
    <s v="BlueDart"/>
    <n v="9.01"/>
    <n v="84.169999999999987"/>
    <s v="April"/>
  </r>
  <r>
    <s v="shopify_sales_april2026.csv"/>
    <s v="#1044"/>
    <d v="2026-04-12T00:00:00"/>
    <x v="1"/>
    <n v="5"/>
    <n v="387.1"/>
    <n v="47.95"/>
    <s v="Kolkata"/>
    <s v="BlueDart"/>
    <n v="10.77"/>
    <n v="328.38000000000005"/>
    <s v="April"/>
  </r>
  <r>
    <s v="shopify_sales_april2026.csv"/>
    <s v="#1045"/>
    <d v="2026-04-12T00:00:00"/>
    <x v="3"/>
    <n v="5"/>
    <n v="349.45"/>
    <n v="65.33"/>
    <s v="Hyderabad"/>
    <s v="BlueDart"/>
    <n v="6.52"/>
    <n v="277.60000000000002"/>
    <s v="April"/>
  </r>
  <r>
    <s v="shopify_sales_april2026.csv"/>
    <s v="#1046"/>
    <d v="2026-04-12T00:00:00"/>
    <x v="0"/>
    <n v="2"/>
    <n v="85.78"/>
    <n v="2.25"/>
    <s v="Chennai"/>
    <s v="Delhivery"/>
    <n v="5.85"/>
    <n v="77.680000000000007"/>
    <s v="April"/>
  </r>
  <r>
    <s v="shopify_sales_april2026.csv"/>
    <s v="#1047"/>
    <d v="2026-04-12T00:00:00"/>
    <x v="4"/>
    <n v="3"/>
    <n v="337.65"/>
    <n v="63.19"/>
    <s v="Mumbai"/>
    <s v="BlueDart"/>
    <n v="6.18"/>
    <n v="268.27999999999997"/>
    <s v="April"/>
  </r>
  <r>
    <s v="shopify_sales_april2026.csv"/>
    <s v="#1048"/>
    <d v="2026-04-12T00:00:00"/>
    <x v="4"/>
    <n v="5"/>
    <n v="599.20000000000005"/>
    <n v="119.37"/>
    <s v="Delhi"/>
    <s v="Delhivery"/>
    <n v="11.06"/>
    <n v="468.77000000000004"/>
    <s v="April"/>
  </r>
  <r>
    <s v="shopify_sales_april2026.csv"/>
    <s v="#1049"/>
    <d v="2026-04-12T00:00:00"/>
    <x v="3"/>
    <n v="2"/>
    <n v="136.24"/>
    <n v="3.61"/>
    <s v="Pune"/>
    <s v="BlueDart"/>
    <n v="12.76"/>
    <n v="119.86999999999999"/>
    <s v="April"/>
  </r>
  <r>
    <s v="shopify_sales_april2026.csv"/>
    <s v="#1050"/>
    <d v="2026-04-13T00:00:00"/>
    <x v="2"/>
    <n v="2"/>
    <n v="107.6"/>
    <n v="3.39"/>
    <s v="Jaipur"/>
    <s v="Delhivery"/>
    <n v="9.51"/>
    <n v="94.699999999999989"/>
    <s v="April"/>
  </r>
  <r>
    <s v="shopify_sales_april2026.csv"/>
    <s v="#1051"/>
    <d v="2026-04-13T00:00:00"/>
    <x v="0"/>
    <n v="5"/>
    <n v="591.5"/>
    <n v="95.48"/>
    <s v="Jaipur"/>
    <s v="Delhivery"/>
    <n v="7.97"/>
    <n v="488.04999999999995"/>
    <s v="April"/>
  </r>
  <r>
    <s v="shopify_sales_april2026.csv"/>
    <s v="#1052"/>
    <d v="2026-04-13T00:00:00"/>
    <x v="2"/>
    <n v="5"/>
    <n v="232.15"/>
    <n v="30.8"/>
    <s v="Bengaluru"/>
    <s v="Delhivery"/>
    <n v="8.0500000000000007"/>
    <n v="193.29999999999998"/>
    <s v="April"/>
  </r>
  <r>
    <s v="shopify_sales_april2026.csv"/>
    <s v="#1053"/>
    <d v="2026-04-14T00:00:00"/>
    <x v="0"/>
    <n v="1"/>
    <n v="108.42"/>
    <n v="16.100000000000001"/>
    <s v="Bengaluru"/>
    <s v="BlueDart"/>
    <n v="11.1"/>
    <n v="81.22"/>
    <s v="April"/>
  </r>
  <r>
    <s v="shopify_sales_april2026.csv"/>
    <s v="#1054"/>
    <d v="2026-04-14T00:00:00"/>
    <x v="0"/>
    <n v="3"/>
    <n v="235.53"/>
    <n v="33.799999999999997"/>
    <s v="Hyderabad"/>
    <s v="BlueDart"/>
    <n v="14.48"/>
    <n v="187.25000000000003"/>
    <s v="April"/>
  </r>
  <r>
    <s v="shopify_sales_april2026.csv"/>
    <s v="#1055"/>
    <d v="2026-04-14T00:00:00"/>
    <x v="0"/>
    <n v="5"/>
    <n v="331.5"/>
    <n v="60.02"/>
    <s v="Mumbai"/>
    <s v="BlueDart"/>
    <n v="11.26"/>
    <n v="260.22000000000003"/>
    <s v="April"/>
  </r>
  <r>
    <s v="shopify_sales_april2026.csv"/>
    <s v="#1056"/>
    <d v="2026-04-15T00:00:00"/>
    <x v="2"/>
    <n v="4"/>
    <n v="408.32"/>
    <n v="3.6"/>
    <s v="Pune"/>
    <s v="Delhivery"/>
    <n v="11.6"/>
    <n v="393.11999999999995"/>
    <s v="April"/>
  </r>
  <r>
    <s v="shopify_sales_april2026.csv"/>
    <s v="#1057"/>
    <d v="2026-04-15T00:00:00"/>
    <x v="1"/>
    <n v="3"/>
    <n v="95.91"/>
    <n v="8.48"/>
    <s v="Kolkata"/>
    <s v="BlueDart"/>
    <n v="7.4"/>
    <n v="80.029999999999987"/>
    <s v="April"/>
  </r>
  <r>
    <s v="shopify_sales_april2026.csv"/>
    <s v="#1058"/>
    <d v="2026-04-15T00:00:00"/>
    <x v="3"/>
    <n v="1"/>
    <n v="26.75"/>
    <n v="5.0599999999999996"/>
    <s v="Bengaluru"/>
    <s v="BlueDart"/>
    <n v="6.57"/>
    <n v="15.120000000000001"/>
    <s v="April"/>
  </r>
  <r>
    <s v="shopify_sales_april2026.csv"/>
    <s v="#1059"/>
    <d v="2026-04-17T00:00:00"/>
    <x v="3"/>
    <n v="1"/>
    <n v="102.63"/>
    <n v="11.96"/>
    <s v="Bengaluru"/>
    <s v="Delhivery"/>
    <n v="9.51"/>
    <n v="81.159999999999982"/>
    <s v="April"/>
  </r>
  <r>
    <s v="shopify_sales_april2026.csv"/>
    <s v="#1060"/>
    <d v="2026-04-18T00:00:00"/>
    <x v="4"/>
    <n v="2"/>
    <n v="38.78"/>
    <n v="2.83"/>
    <s v="Mumbai"/>
    <s v="Delhivery"/>
    <n v="7.91"/>
    <n v="28.040000000000003"/>
    <s v="April"/>
  </r>
  <r>
    <s v="shopify_sales_april2026.csv"/>
    <s v="#1061"/>
    <d v="2026-04-18T00:00:00"/>
    <x v="0"/>
    <n v="2"/>
    <n v="173.24"/>
    <n v="23.11"/>
    <s v="Pune"/>
    <s v="BlueDart"/>
    <n v="7.88"/>
    <n v="142.25"/>
    <s v="April"/>
  </r>
  <r>
    <s v="shopify_sales_april2026.csv"/>
    <s v="#1062"/>
    <d v="2026-04-18T00:00:00"/>
    <x v="3"/>
    <n v="4"/>
    <n v="469"/>
    <n v="70.3"/>
    <s v="Hyderabad"/>
    <s v="Delhivery"/>
    <n v="12.03"/>
    <n v="386.67"/>
    <s v="April"/>
  </r>
  <r>
    <s v="shopify_sales_april2026.csv"/>
    <s v="#1063"/>
    <d v="2026-04-18T00:00:00"/>
    <x v="1"/>
    <n v="2"/>
    <n v="215.1"/>
    <n v="1.07"/>
    <s v="Pune"/>
    <s v="Delhivery"/>
    <n v="5.71"/>
    <n v="208.32"/>
    <s v="April"/>
  </r>
  <r>
    <s v="shopify_sales_april2026.csv"/>
    <s v="#1064"/>
    <d v="2026-04-18T00:00:00"/>
    <x v="4"/>
    <n v="2"/>
    <n v="86.02"/>
    <n v="13.55"/>
    <s v="Delhi"/>
    <s v="BlueDart"/>
    <n v="14.24"/>
    <n v="58.23"/>
    <s v="April"/>
  </r>
  <r>
    <s v="shopify_sales_april2026.csv"/>
    <s v="#1065"/>
    <d v="2026-04-19T00:00:00"/>
    <x v="4"/>
    <n v="1"/>
    <n v="105.15"/>
    <n v="4.68"/>
    <s v="Ahmedabad"/>
    <s v="BlueDart"/>
    <n v="9.25"/>
    <n v="91.22"/>
    <s v="April"/>
  </r>
  <r>
    <s v="shopify_sales_april2026.csv"/>
    <s v="#1066"/>
    <d v="2026-04-19T00:00:00"/>
    <x v="0"/>
    <n v="3"/>
    <n v="303.48"/>
    <n v="52.89"/>
    <s v="Hyderabad"/>
    <s v="BlueDart"/>
    <n v="11.48"/>
    <n v="239.11000000000004"/>
    <s v="April"/>
  </r>
  <r>
    <s v="shopify_sales_april2026.csv"/>
    <s v="#1067"/>
    <d v="2026-04-19T00:00:00"/>
    <x v="2"/>
    <n v="2"/>
    <n v="113.68"/>
    <n v="6.33"/>
    <s v="Delhi"/>
    <s v="Delhivery"/>
    <n v="13.27"/>
    <n v="94.080000000000013"/>
    <s v="April"/>
  </r>
  <r>
    <s v="shopify_sales_april2026.csv"/>
    <s v="#1068"/>
    <d v="2026-04-20T00:00:00"/>
    <x v="0"/>
    <n v="3"/>
    <n v="247.08"/>
    <n v="19.75"/>
    <s v="Jaipur"/>
    <s v="BlueDart"/>
    <n v="5.6"/>
    <n v="221.73000000000002"/>
    <s v="April"/>
  </r>
  <r>
    <s v="shopify_sales_april2026.csv"/>
    <s v="#1069"/>
    <d v="2026-04-20T00:00:00"/>
    <x v="0"/>
    <n v="1"/>
    <n v="27.11"/>
    <n v="5.26"/>
    <s v="Bengaluru"/>
    <s v="Delhivery"/>
    <n v="10.95"/>
    <n v="10.900000000000002"/>
    <s v="April"/>
  </r>
  <r>
    <s v="shopify_sales_april2026.csv"/>
    <s v="#1070"/>
    <d v="2026-04-20T00:00:00"/>
    <x v="3"/>
    <n v="3"/>
    <n v="57.06"/>
    <n v="6.81"/>
    <s v="Pune"/>
    <s v="Delhivery"/>
    <n v="9.39"/>
    <n v="40.86"/>
    <s v="April"/>
  </r>
  <r>
    <s v="shopify_sales_april2026.csv"/>
    <s v="#1071"/>
    <d v="2026-04-21T00:00:00"/>
    <x v="0"/>
    <n v="4"/>
    <n v="314.60000000000002"/>
    <n v="32.18"/>
    <s v="Kolkata"/>
    <s v="Delhivery"/>
    <n v="11.89"/>
    <n v="270.53000000000003"/>
    <s v="April"/>
  </r>
  <r>
    <s v="shopify_sales_april2026.csv"/>
    <s v="#1072"/>
    <d v="2026-04-21T00:00:00"/>
    <x v="3"/>
    <n v="2"/>
    <n v="83.5"/>
    <n v="11.84"/>
    <s v="Mumbai"/>
    <s v="Delhivery"/>
    <n v="14.43"/>
    <n v="57.23"/>
    <s v="April"/>
  </r>
  <r>
    <s v="shopify_sales_april2026.csv"/>
    <s v="#1073"/>
    <d v="2026-04-21T00:00:00"/>
    <x v="3"/>
    <n v="5"/>
    <n v="435.6"/>
    <n v="81.92"/>
    <s v="Hyderabad"/>
    <s v="Delhivery"/>
    <n v="9.3800000000000008"/>
    <n v="344.3"/>
    <s v="April"/>
  </r>
  <r>
    <s v="shopify_sales_april2026.csv"/>
    <s v="#1074"/>
    <d v="2026-04-21T00:00:00"/>
    <x v="0"/>
    <n v="4"/>
    <n v="89.4"/>
    <n v="11.88"/>
    <s v="Pune"/>
    <s v="BlueDart"/>
    <n v="13.89"/>
    <n v="63.63000000000001"/>
    <s v="April"/>
  </r>
  <r>
    <s v="shopify_sales_april2026.csv"/>
    <s v="#1075"/>
    <d v="2026-04-22T00:00:00"/>
    <x v="3"/>
    <n v="3"/>
    <n v="253.98"/>
    <n v="6.33"/>
    <s v="Chennai"/>
    <s v="Delhivery"/>
    <n v="11.04"/>
    <n v="236.60999999999999"/>
    <s v="April"/>
  </r>
  <r>
    <s v="shopify_sales_april2026.csv"/>
    <s v="#1076"/>
    <d v="2026-04-22T00:00:00"/>
    <x v="3"/>
    <n v="3"/>
    <n v="255.06"/>
    <n v="16.64"/>
    <s v="Chennai"/>
    <s v="BlueDart"/>
    <n v="5.91"/>
    <n v="232.51000000000002"/>
    <s v="April"/>
  </r>
  <r>
    <s v="shopify_sales_april2026.csv"/>
    <s v="#1077"/>
    <d v="2026-04-23T00:00:00"/>
    <x v="3"/>
    <n v="2"/>
    <n v="70.28"/>
    <n v="9.35"/>
    <s v="Kolkata"/>
    <s v="BlueDart"/>
    <n v="15"/>
    <n v="45.93"/>
    <s v="April"/>
  </r>
  <r>
    <s v="shopify_sales_april2026.csv"/>
    <s v="#1078"/>
    <d v="2026-04-23T00:00:00"/>
    <x v="1"/>
    <n v="5"/>
    <n v="373.8"/>
    <n v="30.36"/>
    <s v="Mumbai"/>
    <s v="Delhivery"/>
    <n v="10.76"/>
    <n v="332.68"/>
    <s v="April"/>
  </r>
  <r>
    <s v="shopify_sales_april2026.csv"/>
    <s v="#1079"/>
    <d v="2026-04-23T00:00:00"/>
    <x v="0"/>
    <n v="3"/>
    <n v="111.21"/>
    <n v="17.48"/>
    <s v="Lucknow"/>
    <s v="BlueDart"/>
    <n v="9.7100000000000009"/>
    <n v="84.019999999999982"/>
    <s v="April"/>
  </r>
  <r>
    <s v="shopify_sales_april2026.csv"/>
    <s v="#1080"/>
    <d v="2026-04-23T00:00:00"/>
    <x v="0"/>
    <n v="4"/>
    <n v="245.56"/>
    <n v="33.18"/>
    <s v="Jaipur"/>
    <s v="Delhivery"/>
    <n v="14.16"/>
    <n v="198.22"/>
    <s v="April"/>
  </r>
  <r>
    <s v="shopify_sales_april2026.csv"/>
    <s v="#1081"/>
    <d v="2026-04-24T00:00:00"/>
    <x v="4"/>
    <n v="2"/>
    <n v="168.36"/>
    <n v="9.56"/>
    <s v="Lucknow"/>
    <s v="BlueDart"/>
    <n v="14.97"/>
    <n v="143.83000000000001"/>
    <s v="April"/>
  </r>
  <r>
    <s v="shopify_sales_april2026.csv"/>
    <s v="#1082"/>
    <d v="2026-04-24T00:00:00"/>
    <x v="0"/>
    <n v="1"/>
    <n v="100.93"/>
    <n v="15.16"/>
    <s v="Chennai"/>
    <s v="Delhivery"/>
    <n v="11.35"/>
    <n v="74.420000000000016"/>
    <s v="April"/>
  </r>
  <r>
    <s v="shopify_sales_april2026.csv"/>
    <s v="#1083"/>
    <d v="2026-04-24T00:00:00"/>
    <x v="1"/>
    <n v="2"/>
    <n v="60.94"/>
    <n v="0.56000000000000005"/>
    <s v="Ahmedabad"/>
    <s v="Delhivery"/>
    <n v="14.69"/>
    <n v="45.69"/>
    <s v="April"/>
  </r>
  <r>
    <s v="shopify_sales_april2026.csv"/>
    <s v="#1084"/>
    <d v="2026-04-24T00:00:00"/>
    <x v="3"/>
    <n v="1"/>
    <n v="62.82"/>
    <n v="11.13"/>
    <s v="Lucknow"/>
    <s v="Delhivery"/>
    <n v="8.48"/>
    <n v="43.209999999999994"/>
    <s v="April"/>
  </r>
  <r>
    <s v="shopify_sales_april2026.csv"/>
    <s v="#1085"/>
    <d v="2026-04-25T00:00:00"/>
    <x v="1"/>
    <n v="4"/>
    <n v="267.64"/>
    <n v="13.06"/>
    <s v="Mumbai"/>
    <s v="Delhivery"/>
    <n v="8.2100000000000009"/>
    <n v="246.36999999999998"/>
    <s v="April"/>
  </r>
  <r>
    <s v="shopify_sales_april2026.csv"/>
    <s v="#1086"/>
    <d v="2026-04-25T00:00:00"/>
    <x v="2"/>
    <n v="4"/>
    <n v="151.91999999999999"/>
    <n v="24.43"/>
    <s v="Jaipur"/>
    <s v="BlueDart"/>
    <n v="13.58"/>
    <n v="113.90999999999998"/>
    <s v="April"/>
  </r>
  <r>
    <s v="shopify_sales_april2026.csv"/>
    <s v="#1087"/>
    <d v="2026-04-25T00:00:00"/>
    <x v="4"/>
    <n v="1"/>
    <n v="73.53"/>
    <n v="13.49"/>
    <s v="Delhi"/>
    <s v="Delhivery"/>
    <n v="9.1199999999999992"/>
    <n v="50.92"/>
    <s v="April"/>
  </r>
  <r>
    <s v="shopify_sales_april2026.csv"/>
    <s v="#1088"/>
    <d v="2026-04-26T00:00:00"/>
    <x v="4"/>
    <n v="2"/>
    <n v="198.3"/>
    <n v="26.48"/>
    <s v="Jaipur"/>
    <s v="Delhivery"/>
    <n v="7.88"/>
    <n v="163.94000000000003"/>
    <s v="April"/>
  </r>
  <r>
    <s v="shopify_sales_april2026.csv"/>
    <s v="#1089"/>
    <d v="2026-04-26T00:00:00"/>
    <x v="3"/>
    <n v="3"/>
    <n v="344.25"/>
    <n v="61.37"/>
    <s v="Lucknow"/>
    <s v="Delhivery"/>
    <n v="13.14"/>
    <n v="269.74"/>
    <s v="April"/>
  </r>
  <r>
    <s v="shopify_sales_april2026.csv"/>
    <s v="#1090"/>
    <d v="2026-04-26T00:00:00"/>
    <x v="3"/>
    <n v="4"/>
    <n v="408.84"/>
    <n v="44.8"/>
    <s v="Bengaluru"/>
    <s v="BlueDart"/>
    <n v="9.5500000000000007"/>
    <n v="354.48999999999995"/>
    <s v="April"/>
  </r>
  <r>
    <s v="shopify_sales_april2026.csv"/>
    <s v="#1091"/>
    <d v="2026-04-27T00:00:00"/>
    <x v="4"/>
    <n v="4"/>
    <n v="168.88"/>
    <n v="8.35"/>
    <s v="Chennai"/>
    <s v="Delhivery"/>
    <n v="7.52"/>
    <n v="153.01"/>
    <s v="April"/>
  </r>
  <r>
    <s v="shopify_sales_april2026.csv"/>
    <s v="#1092"/>
    <d v="2026-04-27T00:00:00"/>
    <x v="3"/>
    <n v="4"/>
    <n v="323.24"/>
    <n v="17.75"/>
    <s v="Delhi"/>
    <s v="BlueDart"/>
    <n v="14.7"/>
    <n v="290.79000000000002"/>
    <s v="April"/>
  </r>
  <r>
    <s v="shopify_sales_april2026.csv"/>
    <s v="#1093"/>
    <d v="2026-04-28T00:00:00"/>
    <x v="0"/>
    <n v="2"/>
    <n v="87.06"/>
    <n v="5.57"/>
    <s v="Jaipur"/>
    <s v="Delhivery"/>
    <n v="13.65"/>
    <n v="67.84"/>
    <s v="April"/>
  </r>
  <r>
    <s v="shopify_sales_april2026.csv"/>
    <s v="#1094"/>
    <d v="2026-04-28T00:00:00"/>
    <x v="2"/>
    <n v="2"/>
    <n v="61.68"/>
    <n v="4.7300000000000004"/>
    <s v="Bengaluru"/>
    <s v="BlueDart"/>
    <n v="11.58"/>
    <n v="45.370000000000005"/>
    <s v="April"/>
  </r>
  <r>
    <s v="shopify_sales_april2026.csv"/>
    <s v="#1095"/>
    <d v="2026-04-28T00:00:00"/>
    <x v="1"/>
    <n v="1"/>
    <n v="58.56"/>
    <n v="3.88"/>
    <s v="Ahmedabad"/>
    <s v="Delhivery"/>
    <n v="9.1300000000000008"/>
    <n v="45.55"/>
    <s v="April"/>
  </r>
  <r>
    <s v="shopify_sales_april2026.csv"/>
    <s v="#1096"/>
    <d v="2026-04-28T00:00:00"/>
    <x v="4"/>
    <n v="1"/>
    <n v="36.72"/>
    <n v="3.09"/>
    <s v="Lucknow"/>
    <s v="BlueDart"/>
    <n v="10.18"/>
    <n v="23.449999999999996"/>
    <s v="April"/>
  </r>
  <r>
    <s v="shopify_sales_april2026.csv"/>
    <s v="#1097"/>
    <d v="2026-04-28T00:00:00"/>
    <x v="2"/>
    <n v="5"/>
    <n v="274.7"/>
    <n v="0.32"/>
    <s v="Pune"/>
    <s v="Delhivery"/>
    <n v="11.25"/>
    <n v="263.13"/>
    <s v="April"/>
  </r>
  <r>
    <s v="shopify_sales_april2026.csv"/>
    <s v="#1098"/>
    <d v="2026-04-29T00:00:00"/>
    <x v="0"/>
    <n v="4"/>
    <n v="418.44"/>
    <n v="79.790000000000006"/>
    <s v="Kolkata"/>
    <s v="BlueDart"/>
    <n v="7.04"/>
    <n v="331.60999999999996"/>
    <s v="April"/>
  </r>
  <r>
    <s v="shopify_sales_april2026.csv"/>
    <s v="#1099"/>
    <d v="2026-04-29T00:00:00"/>
    <x v="3"/>
    <n v="5"/>
    <n v="494.95"/>
    <n v="88.87"/>
    <s v="Ahmedabad"/>
    <s v="BlueDart"/>
    <n v="14.28"/>
    <n v="391.8"/>
    <s v="April"/>
  </r>
  <r>
    <s v="shopify_sales_april2026.csv"/>
    <s v="#1100"/>
    <d v="2026-04-30T00:00:00"/>
    <x v="1"/>
    <n v="3"/>
    <n v="182.28"/>
    <n v="1.06"/>
    <s v="Pune"/>
    <s v="Delhivery"/>
    <n v="13.81"/>
    <n v="167.41"/>
    <s v="April"/>
  </r>
  <r>
    <s v="shopify_sales_april2026.csv"/>
    <s v="#1101"/>
    <d v="2026-05-03T00:00:00"/>
    <x v="1"/>
    <n v="3"/>
    <n v="304.02"/>
    <n v="52.38"/>
    <s v="Hyderabad"/>
    <s v="Delhivery"/>
    <n v="8.81"/>
    <n v="242.82999999999998"/>
    <s v="May"/>
  </r>
  <r>
    <s v="shopify_sales_april2026.csv"/>
    <s v="#1102"/>
    <d v="2026-05-03T00:00:00"/>
    <x v="1"/>
    <n v="4"/>
    <n v="337.44"/>
    <n v="57.36"/>
    <s v="Pune"/>
    <s v="BlueDart"/>
    <n v="7.3"/>
    <n v="272.77999999999997"/>
    <s v="May"/>
  </r>
  <r>
    <s v="shopify_sales_april2026.csv"/>
    <s v="#1103"/>
    <d v="2026-05-05T00:00:00"/>
    <x v="2"/>
    <n v="5"/>
    <n v="430.6"/>
    <n v="7.56"/>
    <s v="Pune"/>
    <s v="BlueDart"/>
    <n v="12.6"/>
    <n v="410.44"/>
    <s v="May"/>
  </r>
  <r>
    <s v="shopify_sales_april2026.csv"/>
    <s v="#1104"/>
    <d v="2026-05-06T00:00:00"/>
    <x v="4"/>
    <n v="1"/>
    <n v="43.29"/>
    <n v="7.0000000000000007E-2"/>
    <s v="Hyderabad"/>
    <s v="Delhivery"/>
    <n v="12.29"/>
    <n v="30.93"/>
    <s v="May"/>
  </r>
  <r>
    <s v="shopify_sales_april2026.csv"/>
    <s v="#1105"/>
    <d v="2026-05-07T00:00:00"/>
    <x v="0"/>
    <n v="5"/>
    <n v="117.45"/>
    <n v="12.18"/>
    <s v="Hyderabad"/>
    <s v="BlueDart"/>
    <n v="14.38"/>
    <n v="90.890000000000015"/>
    <s v="May"/>
  </r>
  <r>
    <s v="shopify_sales_april2026.csv"/>
    <s v="#1106"/>
    <d v="2026-05-07T00:00:00"/>
    <x v="3"/>
    <n v="4"/>
    <n v="470.2"/>
    <n v="33.619999999999997"/>
    <s v="Hyderabad"/>
    <s v="Delhivery"/>
    <n v="6.99"/>
    <n v="429.59"/>
    <s v="May"/>
  </r>
  <r>
    <s v="shopify_sales_april2026.csv"/>
    <s v="#1107"/>
    <d v="2026-05-08T00:00:00"/>
    <x v="1"/>
    <n v="4"/>
    <n v="310.08"/>
    <n v="60.95"/>
    <s v="Jaipur"/>
    <s v="BlueDart"/>
    <n v="12.93"/>
    <n v="236.2"/>
    <s v="May"/>
  </r>
  <r>
    <s v="shopify_sales_april2026.csv"/>
    <s v="#1108"/>
    <d v="2026-05-08T00:00:00"/>
    <x v="1"/>
    <n v="1"/>
    <n v="26.53"/>
    <n v="0.91"/>
    <s v="Kolkata"/>
    <s v="Delhivery"/>
    <n v="13.22"/>
    <n v="12.4"/>
    <s v="May"/>
  </r>
  <r>
    <s v="shopify_sales_april2026.csv"/>
    <s v="#1109"/>
    <d v="2026-05-09T00:00:00"/>
    <x v="2"/>
    <n v="4"/>
    <n v="325.44"/>
    <n v="9.3000000000000007"/>
    <s v="Lucknow"/>
    <s v="BlueDart"/>
    <n v="6.52"/>
    <n v="309.62"/>
    <s v="May"/>
  </r>
  <r>
    <s v="shopify_sales_april2026.csv"/>
    <s v="#1110"/>
    <d v="2026-05-13T00:00:00"/>
    <x v="2"/>
    <n v="4"/>
    <n v="198.48"/>
    <n v="20.78"/>
    <s v="Hyderabad"/>
    <s v="BlueDart"/>
    <n v="13.5"/>
    <n v="164.2"/>
    <s v="May"/>
  </r>
  <r>
    <s v="shopify_sales_april2026.csv"/>
    <s v="#1111"/>
    <d v="2026-05-13T00:00:00"/>
    <x v="2"/>
    <n v="2"/>
    <n v="123.02"/>
    <n v="13.42"/>
    <s v="Bengaluru"/>
    <s v="Delhivery"/>
    <n v="5.83"/>
    <n v="103.77"/>
    <s v="May"/>
  </r>
  <r>
    <s v="shopify_sales_april2026.csv"/>
    <s v="#1112"/>
    <d v="2026-05-13T00:00:00"/>
    <x v="0"/>
    <n v="4"/>
    <n v="447.32"/>
    <n v="11.71"/>
    <s v="Lucknow"/>
    <s v="BlueDart"/>
    <n v="9.69"/>
    <n v="425.92"/>
    <s v="May"/>
  </r>
  <r>
    <s v="shopify_sales_april2026.csv"/>
    <s v="#1113"/>
    <d v="2026-05-14T00:00:00"/>
    <x v="1"/>
    <n v="5"/>
    <n v="569.15"/>
    <n v="14.16"/>
    <s v="Delhi"/>
    <s v="Delhivery"/>
    <n v="5.43"/>
    <n v="549.56000000000006"/>
    <s v="May"/>
  </r>
  <r>
    <s v="shopify_sales_april2026.csv"/>
    <s v="#1114"/>
    <d v="2026-05-16T00:00:00"/>
    <x v="1"/>
    <n v="3"/>
    <n v="99.84"/>
    <n v="3.55"/>
    <s v="Bengaluru"/>
    <s v="BlueDart"/>
    <n v="9.25"/>
    <n v="87.04"/>
    <s v="May"/>
  </r>
  <r>
    <s v="shopify_sales_april2026.csv"/>
    <s v="#1115"/>
    <d v="2026-05-17T00:00:00"/>
    <x v="1"/>
    <n v="5"/>
    <n v="242.55"/>
    <n v="24.21"/>
    <s v="Hyderabad"/>
    <s v="Delhivery"/>
    <n v="14.9"/>
    <n v="203.44"/>
    <s v="May"/>
  </r>
  <r>
    <s v="shopify_sales_april2026.csv"/>
    <s v="#1116"/>
    <d v="2026-05-18T00:00:00"/>
    <x v="0"/>
    <n v="1"/>
    <n v="105.08"/>
    <n v="7.6"/>
    <s v="Delhi"/>
    <s v="BlueDart"/>
    <n v="9.6199999999999992"/>
    <n v="87.86"/>
    <s v="May"/>
  </r>
  <r>
    <s v="shopify_sales_april2026.csv"/>
    <s v="#1117"/>
    <d v="2026-05-19T00:00:00"/>
    <x v="3"/>
    <n v="3"/>
    <n v="48.51"/>
    <n v="8.08"/>
    <s v="Pune"/>
    <s v="BlueDart"/>
    <n v="11.06"/>
    <n v="29.369999999999997"/>
    <s v="May"/>
  </r>
  <r>
    <s v="shopify_sales_april2026.csv"/>
    <s v="#1118"/>
    <d v="2026-05-20T00:00:00"/>
    <x v="1"/>
    <n v="4"/>
    <n v="227.64"/>
    <n v="37.44"/>
    <s v="Kolkata"/>
    <s v="BlueDart"/>
    <n v="8.58"/>
    <n v="181.61999999999998"/>
    <s v="May"/>
  </r>
  <r>
    <s v="shopify_sales_april2026.csv"/>
    <s v="#1119"/>
    <d v="2026-05-20T00:00:00"/>
    <x v="4"/>
    <n v="4"/>
    <n v="401.76"/>
    <n v="42.94"/>
    <s v="Bengaluru"/>
    <s v="BlueDart"/>
    <n v="14.52"/>
    <n v="344.3"/>
    <s v="May"/>
  </r>
  <r>
    <s v="shopify_sales_april2026.csv"/>
    <s v="#1120"/>
    <d v="2026-05-20T00:00:00"/>
    <x v="2"/>
    <n v="3"/>
    <n v="272.31"/>
    <n v="21.71"/>
    <s v="Ahmedabad"/>
    <s v="BlueDart"/>
    <n v="12.48"/>
    <n v="238.12"/>
    <s v="Ma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n v="780.18"/>
    <n v="96.57"/>
    <n v="41.37"/>
    <n v="77.930000000000007"/>
    <n v="564.30999999999995"/>
    <x v="0"/>
  </r>
  <r>
    <x v="1"/>
    <n v="556.56999999999994"/>
    <n v="61.53"/>
    <n v="28.540000000000003"/>
    <n v="98.46"/>
    <n v="368.03999999999996"/>
    <x v="0"/>
  </r>
  <r>
    <x v="2"/>
    <n v="1356.19"/>
    <n v="183.76999999999998"/>
    <n v="63.230000000000004"/>
    <n v="92.55"/>
    <n v="1016.6400000000001"/>
    <x v="0"/>
  </r>
  <r>
    <x v="3"/>
    <n v="1428.84"/>
    <n v="186.2"/>
    <n v="53.63"/>
    <n v="26.72"/>
    <n v="1162.2899999999997"/>
    <x v="0"/>
  </r>
  <r>
    <x v="4"/>
    <n v="701.58999999999992"/>
    <n v="77.03"/>
    <n v="17.100000000000001"/>
    <n v="89.35"/>
    <n v="518.1099999999999"/>
    <x v="0"/>
  </r>
  <r>
    <x v="5"/>
    <n v="491.77"/>
    <n v="29.810000000000002"/>
    <n v="18.990000000000002"/>
    <n v="40.81"/>
    <n v="402.15999999999997"/>
    <x v="0"/>
  </r>
  <r>
    <x v="6"/>
    <n v="539.9"/>
    <n v="50.14"/>
    <n v="38.619999999999997"/>
    <n v="56.38"/>
    <n v="394.76"/>
    <x v="0"/>
  </r>
  <r>
    <x v="7"/>
    <n v="1200.9000000000001"/>
    <n v="121.46"/>
    <n v="57.14"/>
    <n v="42.26"/>
    <n v="980.04000000000008"/>
    <x v="0"/>
  </r>
  <r>
    <x v="8"/>
    <n v="857.79000000000008"/>
    <n v="123.71000000000002"/>
    <n v="48.47"/>
    <n v="86.79"/>
    <n v="598.82000000000005"/>
    <x v="0"/>
  </r>
  <r>
    <x v="9"/>
    <n v="378.2"/>
    <n v="52.96"/>
    <n v="14.36"/>
    <n v="79.92"/>
    <n v="230.95999999999998"/>
    <x v="0"/>
  </r>
  <r>
    <x v="10"/>
    <n v="231.85"/>
    <n v="25.97"/>
    <n v="15.149999999999999"/>
    <n v="37.94"/>
    <n v="152.79"/>
    <x v="0"/>
  </r>
  <r>
    <x v="11"/>
    <n v="1895.42"/>
    <n v="301.70000000000005"/>
    <n v="53.14"/>
    <n v="80.34"/>
    <n v="1460.24"/>
    <x v="0"/>
  </r>
  <r>
    <x v="12"/>
    <n v="931.25"/>
    <n v="129.67000000000002"/>
    <n v="25.53"/>
    <n v="87.14"/>
    <n v="688.91"/>
    <x v="0"/>
  </r>
  <r>
    <x v="13"/>
    <n v="675.45"/>
    <n v="109.92"/>
    <n v="36.839999999999996"/>
    <n v="39.08"/>
    <n v="489.61000000000007"/>
    <x v="0"/>
  </r>
  <r>
    <x v="14"/>
    <n v="530.98"/>
    <n v="17.14"/>
    <n v="25.57"/>
    <n v="65.12"/>
    <n v="423.15000000000003"/>
    <x v="0"/>
  </r>
  <r>
    <x v="15"/>
    <n v="102.63"/>
    <n v="11.96"/>
    <n v="9.51"/>
    <n v="33.42"/>
    <n v="47.739999999999981"/>
    <x v="0"/>
  </r>
  <r>
    <x v="16"/>
    <n v="982.14"/>
    <n v="110.85999999999999"/>
    <n v="47.77"/>
    <n v="82.22"/>
    <n v="741.29"/>
    <x v="0"/>
  </r>
  <r>
    <x v="17"/>
    <n v="522.30999999999995"/>
    <n v="63.9"/>
    <n v="34"/>
    <n v="28.65"/>
    <n v="395.76"/>
    <x v="0"/>
  </r>
  <r>
    <x v="18"/>
    <n v="331.25"/>
    <n v="31.819999999999997"/>
    <n v="25.939999999999998"/>
    <n v="66.06"/>
    <n v="207.43"/>
    <x v="0"/>
  </r>
  <r>
    <x v="19"/>
    <n v="923.1"/>
    <n v="137.82"/>
    <n v="49.59"/>
    <n v="95.32"/>
    <n v="640.36999999999989"/>
    <x v="0"/>
  </r>
  <r>
    <x v="20"/>
    <n v="509.03999999999996"/>
    <n v="22.97"/>
    <n v="16.95"/>
    <n v="67.37"/>
    <n v="401.74999999999994"/>
    <x v="0"/>
  </r>
  <r>
    <x v="21"/>
    <n v="800.85000000000014"/>
    <n v="90.37"/>
    <n v="49.629999999999995"/>
    <n v="28.15"/>
    <n v="632.70000000000016"/>
    <x v="0"/>
  </r>
  <r>
    <x v="22"/>
    <n v="393.05"/>
    <n v="36.409999999999997"/>
    <n v="49.489999999999995"/>
    <n v="88.02"/>
    <n v="219.13"/>
    <x v="0"/>
  </r>
  <r>
    <x v="23"/>
    <n v="493.08999999999992"/>
    <n v="50.980000000000004"/>
    <n v="30.909999999999997"/>
    <n v="83.7"/>
    <n v="327.49999999999994"/>
    <x v="0"/>
  </r>
  <r>
    <x v="24"/>
    <n v="951.38999999999987"/>
    <n v="132.64999999999998"/>
    <n v="30.57"/>
    <n v="47.78"/>
    <n v="740.38999999999987"/>
    <x v="0"/>
  </r>
  <r>
    <x v="25"/>
    <n v="492.12"/>
    <n v="26.1"/>
    <n v="22.22"/>
    <n v="25.52"/>
    <n v="418.28"/>
    <x v="0"/>
  </r>
  <r>
    <x v="26"/>
    <n v="518.72"/>
    <n v="17.59"/>
    <n v="55.79"/>
    <n v="21.01"/>
    <n v="424.33000000000004"/>
    <x v="0"/>
  </r>
  <r>
    <x v="27"/>
    <n v="913.39"/>
    <n v="168.66000000000003"/>
    <n v="21.32"/>
    <n v="28.44"/>
    <n v="694.96999999999991"/>
    <x v="0"/>
  </r>
  <r>
    <x v="28"/>
    <n v="182.28"/>
    <n v="1.06"/>
    <n v="13.81"/>
    <n v="76.58"/>
    <n v="90.83"/>
    <x v="0"/>
  </r>
  <r>
    <x v="29"/>
    <n v="641.46"/>
    <n v="109.74000000000001"/>
    <n v="16.11"/>
    <n v="83.41"/>
    <n v="432.20000000000005"/>
    <x v="1"/>
  </r>
  <r>
    <x v="30"/>
    <n v="430.6"/>
    <n v="7.56"/>
    <n v="12.6"/>
    <n v="85.79"/>
    <n v="324.64999999999998"/>
    <x v="1"/>
  </r>
  <r>
    <x v="31"/>
    <n v="43.29"/>
    <n v="7.0000000000000007E-2"/>
    <n v="12.29"/>
    <n v="32.18"/>
    <n v="-1.25"/>
    <x v="1"/>
  </r>
  <r>
    <x v="32"/>
    <n v="587.65"/>
    <n v="45.8"/>
    <n v="21.37"/>
    <n v="88"/>
    <n v="432.48"/>
    <x v="1"/>
  </r>
  <r>
    <x v="33"/>
    <n v="336.61"/>
    <n v="61.86"/>
    <n v="26.15"/>
    <n v="95.75"/>
    <n v="152.85"/>
    <x v="1"/>
  </r>
  <r>
    <x v="34"/>
    <n v="325.44"/>
    <n v="9.3000000000000007"/>
    <n v="6.52"/>
    <n v="57.52"/>
    <n v="252.1"/>
    <x v="1"/>
  </r>
  <r>
    <x v="35"/>
    <n v="768.81999999999994"/>
    <n v="45.910000000000004"/>
    <n v="29.019999999999996"/>
    <n v="41.55"/>
    <n v="652.34"/>
    <x v="1"/>
  </r>
  <r>
    <x v="36"/>
    <n v="569.15"/>
    <n v="14.16"/>
    <n v="5.43"/>
    <n v="36.299999999999997"/>
    <n v="513.2600000000001"/>
    <x v="1"/>
  </r>
  <r>
    <x v="37"/>
    <n v="99.84"/>
    <n v="3.55"/>
    <n v="9.25"/>
    <n v="56.97"/>
    <n v="30.070000000000007"/>
    <x v="1"/>
  </r>
  <r>
    <x v="38"/>
    <n v="242.55"/>
    <n v="24.21"/>
    <n v="14.9"/>
    <n v="98.14"/>
    <n v="105.3"/>
    <x v="1"/>
  </r>
  <r>
    <x v="39"/>
    <n v="105.08"/>
    <n v="7.6"/>
    <n v="9.6199999999999992"/>
    <n v="37.270000000000003"/>
    <n v="50.589999999999996"/>
    <x v="1"/>
  </r>
  <r>
    <x v="40"/>
    <n v="48.51"/>
    <n v="8.08"/>
    <n v="11.06"/>
    <n v="79.8"/>
    <n v="-50.43"/>
    <x v="1"/>
  </r>
  <r>
    <x v="41"/>
    <n v="901.71"/>
    <n v="102.09"/>
    <n v="35.58"/>
    <n v="95.51"/>
    <n v="668.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614AB3-0604-4234-9E96-384B9CEB98C4}" name="KPIs"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U5" firstHeaderRow="0" firstDataRow="1" firstDataCol="1"/>
  <pivotFields count="12">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showAll="0"/>
    <pivotField showAll="0"/>
    <pivotField showAll="0"/>
    <pivotField dataField="1" showAll="0"/>
    <pivotField showAll="0"/>
    <pivotField axis="axisRow" showAll="0">
      <items count="3">
        <item x="0"/>
        <item h="1" x="1"/>
        <item t="default"/>
      </items>
    </pivotField>
    <pivotField showAll="0"/>
    <pivotField dataField="1" numFmtId="44"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i>
    <i t="grand">
      <x/>
    </i>
  </rowItems>
  <colFields count="1">
    <field x="-2"/>
  </colFields>
  <colItems count="4">
    <i>
      <x/>
    </i>
    <i i="1">
      <x v="1"/>
    </i>
    <i i="2">
      <x v="2"/>
    </i>
    <i i="3">
      <x v="3"/>
    </i>
  </colItems>
  <dataFields count="4">
    <dataField name="Sum of Net Profit Per Day" fld="8" baseField="0" baseItem="0" numFmtId="44"/>
    <dataField name="Sum of Spend" fld="4" baseField="0" baseItem="0"/>
    <dataField name="Average of ROAS" fld="9" subtotal="average" baseField="6" baseItem="0" numFmtId="165"/>
    <dataField name="Sum of Total Revenue" fld="1" baseField="0" baseItem="0"/>
  </dataFields>
  <formats count="2">
    <format dxfId="21">
      <pivotArea field="6" grandRow="1" outline="0" collapsedLevelsAreSubtotals="1" axis="axisRow" fieldPosition="0">
        <references count="1">
          <reference field="4294967294" count="1" selected="0">
            <x v="0"/>
          </reference>
        </references>
      </pivotArea>
    </format>
    <format dxfId="22">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0D9D6F-D06D-4ABD-8671-0385F5E3AF84}" name="PivotTable1"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3:M9" firstHeaderRow="1" firstDataRow="1" firstDataCol="1"/>
  <pivotFields count="12">
    <pivotField showAll="0"/>
    <pivotField showAll="0"/>
    <pivotField numFmtId="14" showAll="0"/>
    <pivotField axis="axisRow" showAll="0" sortType="ascending">
      <items count="6">
        <item x="2"/>
        <item x="1"/>
        <item x="0"/>
        <item x="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3"/>
  </rowFields>
  <rowItems count="6">
    <i>
      <x v="3"/>
    </i>
    <i>
      <x/>
    </i>
    <i>
      <x v="1"/>
    </i>
    <i>
      <x v="2"/>
    </i>
    <i>
      <x v="4"/>
    </i>
    <i t="grand">
      <x/>
    </i>
  </rowItems>
  <colItems count="1">
    <i/>
  </colItems>
  <dataFields count="1">
    <dataField name="Sum of Gross Sales" fld="5" baseField="0" baseItem="0"/>
  </dataFields>
  <chartFormats count="1">
    <chartFormat chart="29" format="3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FF5F69-B2CA-4F52-8226-B61FB574E9DB}" name="ROAS"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12:N43" firstHeaderRow="1" firstDataRow="1" firstDataCol="1"/>
  <pivotFields count="12">
    <pivotField axis="axisRow"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umFmtId="164" showAll="0"/>
    <pivotField numFmtId="164" showAll="0"/>
    <pivotField showAll="0"/>
    <pivotField numFmtId="164" showAll="0"/>
    <pivotField showAll="0"/>
    <pivotField axis="axisRow" showAll="0">
      <items count="3">
        <item x="0"/>
        <item h="1" x="1"/>
        <item t="default"/>
      </items>
    </pivotField>
    <pivotField showAll="0"/>
    <pivotField numFmtId="164"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6"/>
    <field x="0"/>
  </rowFields>
  <rowItems count="3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t="grand">
      <x/>
    </i>
  </rowItems>
  <colItems count="1">
    <i/>
  </colItems>
  <dataFields count="1">
    <dataField name="Average of ROAS" fld="9" subtotal="average" baseField="0" baseItem="0" numFmtId="165"/>
  </dataFields>
  <chartFormats count="3">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E79B09-5910-4E77-9CB6-125FD9C35B32}" name="Cumulative Profit"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X3:Y34" firstHeaderRow="1" firstDataRow="1" firstDataCol="1"/>
  <pivotFields count="12">
    <pivotField axis="axisRow"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umFmtId="164" showAll="0"/>
    <pivotField numFmtId="164" showAll="0"/>
    <pivotField showAll="0"/>
    <pivotField numFmtId="164" showAll="0"/>
    <pivotField showAll="0"/>
    <pivotField axis="axisRow" showAll="0">
      <items count="3">
        <item x="0"/>
        <item h="1" x="1"/>
        <item t="default"/>
      </items>
    </pivotField>
    <pivotField showAll="0"/>
    <pivotField dataField="1"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3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t="grand">
      <x/>
    </i>
  </rowItems>
  <colItems count="1">
    <i/>
  </colItems>
  <dataFields count="1">
    <dataField name="Max of Net Profit Per Day" fld="8" subtotal="max" showDataAs="runTotal" baseField="0" baseItem="0" numFmtId="16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3414D5-7D51-4BFD-9683-09D053FB8429}" name="PivotTable2"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C5:AG8" firstHeaderRow="0" firstDataRow="1" firstDataCol="1"/>
  <pivotFields count="9">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dataField="1" showAll="0"/>
    <pivotField dataField="1" showAll="0"/>
    <pivotField dataField="1" showAll="0"/>
    <pivotField dataField="1" showAll="0"/>
    <pivotField axis="axisRow"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Fields count="1">
    <field x="-2"/>
  </colFields>
  <colItems count="4">
    <i>
      <x/>
    </i>
    <i i="1">
      <x v="1"/>
    </i>
    <i i="2">
      <x v="2"/>
    </i>
    <i i="3">
      <x v="3"/>
    </i>
  </colItems>
  <dataFields count="4">
    <dataField name="Ad Spend" fld="4" baseField="6" baseItem="0"/>
    <dataField name="Discounts" fld="2" baseField="6" baseItem="0"/>
    <dataField name="Shipping Fee" fld="3" baseField="6" baseItem="0"/>
    <dataField name="Sum of Net Profit" fld="5" baseField="0" baseItem="0"/>
  </dataFields>
  <chartFormats count="4">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23AAA9-0B63-4CD4-8F9E-59B733A18AC8}" name="PivotTable4" cacheId="1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C48" firstHeaderRow="0" firstDataRow="1" firstDataCol="1"/>
  <pivotFields count="12">
    <pivotField axis="axisRow"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numFmtId="164" showAll="0"/>
    <pivotField numFmtId="164" showAll="0"/>
    <pivotField showAll="0"/>
    <pivotField dataField="1" numFmtId="164" showAll="0"/>
    <pivotField showAll="0"/>
    <pivotField axis="axisRow" showAll="0">
      <items count="3">
        <item x="0"/>
        <item x="1"/>
        <item t="default"/>
      </items>
    </pivotField>
    <pivotField showAll="0"/>
    <pivotField numFmtId="164"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6"/>
    <field x="0"/>
  </rowFields>
  <rowItems count="4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x v="1"/>
    </i>
    <i r="1">
      <x v="29"/>
    </i>
    <i r="1">
      <x v="30"/>
    </i>
    <i r="1">
      <x v="31"/>
    </i>
    <i r="1">
      <x v="32"/>
    </i>
    <i r="1">
      <x v="33"/>
    </i>
    <i r="1">
      <x v="34"/>
    </i>
    <i r="1">
      <x v="35"/>
    </i>
    <i r="1">
      <x v="36"/>
    </i>
    <i r="1">
      <x v="37"/>
    </i>
    <i r="1">
      <x v="38"/>
    </i>
    <i r="1">
      <x v="39"/>
    </i>
    <i r="1">
      <x v="40"/>
    </i>
    <i r="1">
      <x v="41"/>
    </i>
    <i t="grand">
      <x/>
    </i>
  </rowItems>
  <colFields count="1">
    <field x="-2"/>
  </colFields>
  <colItems count="2">
    <i>
      <x/>
    </i>
    <i i="1">
      <x v="1"/>
    </i>
  </colItems>
  <dataFields count="2">
    <dataField name="Revenue" fld="1" baseField="6" baseItem="0" numFmtId="164"/>
    <dataField name="Ad Spend" fld="4" baseField="6" baseItem="0" numFmtId="164"/>
  </dataFields>
  <chartFormats count="4">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68" name="Date">
      <autoFilter ref="A1">
        <filterColumn colId="0">
          <customFilters and="1">
            <customFilter operator="greaterThanOrEqual" val="4611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82BAB1B-6035-47D8-BD80-F7CA68813317}" autoFormatId="16" applyNumberFormats="0" applyBorderFormats="0" applyFontFormats="0" applyPatternFormats="0" applyAlignmentFormats="0" applyWidthHeightFormats="0">
  <queryTableRefresh nextId="8">
    <queryTableFields count="7">
      <queryTableField id="1" name="Date" tableColumnId="1"/>
      <queryTableField id="2" name="Gross Sales" tableColumnId="2"/>
      <queryTableField id="3" name="Discount" tableColumnId="3"/>
      <queryTableField id="4" name="Shipping" tableColumnId="4"/>
      <queryTableField id="5" name="Spend" tableColumnId="5"/>
      <queryTableField id="6" name="Net Profit" tableColumnId="6"/>
      <queryTableField id="7" name="Ads_Input.Month"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4B26E9FA-52DE-400B-BE3B-446484BF97B5}" autoFormatId="16" applyNumberFormats="0" applyBorderFormats="0" applyFontFormats="0" applyPatternFormats="0" applyAlignmentFormats="0" applyWidthHeightFormats="0">
  <queryTableRefresh nextId="12">
    <queryTableFields count="10">
      <queryTableField id="1" name="Date" tableColumnId="1"/>
      <queryTableField id="9" name="Total Revenue" tableColumnId="9"/>
      <queryTableField id="2" name="Gross Profit" tableColumnId="2"/>
      <queryTableField id="3" name="Platform" tableColumnId="3"/>
      <queryTableField id="4" name="Spend" tableColumnId="4"/>
      <queryTableField id="5" name="Clicks" tableColumnId="5"/>
      <queryTableField id="6" name="Month" tableColumnId="6"/>
      <queryTableField id="7" name="Expense Per Click" tableColumnId="7"/>
      <queryTableField id="8" name="Net Profit Per Day" tableColumnId="8"/>
      <queryTableField id="11" name="ROA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9423C634-99EB-4B94-A461-C4F880761B93}" autoFormatId="16" applyNumberFormats="0" applyBorderFormats="0" applyFontFormats="0" applyPatternFormats="0" applyAlignmentFormats="0" applyWidthHeightFormats="0">
  <queryTableRefresh nextId="20">
    <queryTableFields count="12">
      <queryTableField id="18" name="Source.Name" tableColumnId="8"/>
      <queryTableField id="1" name="Order ID" tableColumnId="1"/>
      <queryTableField id="2" name="Date" tableColumnId="2"/>
      <queryTableField id="3" name="Product SKU" tableColumnId="3"/>
      <queryTableField id="4" name="Quantity" tableColumnId="4"/>
      <queryTableField id="5" name="Gross Sales" tableColumnId="5"/>
      <queryTableField id="6" name="Discounts" tableColumnId="6"/>
      <queryTableField id="7" name="Customer City" tableColumnId="7"/>
      <queryTableField id="10" name="Carrier" tableColumnId="10"/>
      <queryTableField id="11" name="Shipping Fee" tableColumnId="11"/>
      <queryTableField id="16" name="Net Profit" tableColumnId="12"/>
      <queryTableField id="13" name="Month"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CA07FA3-383B-42D3-A288-4374FCA5F5E6}" sourceName="Month">
  <pivotTables>
    <pivotTable tabId="10" name="ROAS"/>
    <pivotTable tabId="10" name="Cumulative Profit"/>
    <pivotTable tabId="10" name="KPIs"/>
  </pivotTables>
  <data>
    <tabular pivotCacheId="84473916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635253C-E1C9-434F-9624-44BCBF099AD3}" cache="Slicer_Month" caption="Month"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3DEC4-0A93-4D24-8183-FF7180B27FC9}" name="Merge3" displayName="Merge3" ref="A1:G44" tableType="queryTable" totalsRowShown="0">
  <autoFilter ref="A1:G44" xr:uid="{53B3DEC4-0A93-4D24-8183-FF7180B27FC9}"/>
  <tableColumns count="7">
    <tableColumn id="1" xr3:uid="{D2A64EBE-14F0-436E-A23E-DE7F9E72C333}" uniqueName="1" name="Date" queryTableFieldId="1" dataDxfId="20"/>
    <tableColumn id="2" xr3:uid="{82AAAA25-409E-48B5-9AAA-B506F2A489DB}" uniqueName="2" name="Gross Sales" queryTableFieldId="2"/>
    <tableColumn id="3" xr3:uid="{E5703381-4EE2-4BFF-8C35-80400BDE3791}" uniqueName="3" name="Discount" queryTableFieldId="3"/>
    <tableColumn id="4" xr3:uid="{9EF3040E-44FF-4E95-9743-3657C2DA3477}" uniqueName="4" name="Shipping" queryTableFieldId="4"/>
    <tableColumn id="5" xr3:uid="{54BA9A0F-1A0F-4675-89DB-D2EB258EC589}" uniqueName="5" name="Spend" queryTableFieldId="5"/>
    <tableColumn id="6" xr3:uid="{BADF7356-50E4-41FC-8B50-20833E9B4499}" uniqueName="6" name="Net Profit" queryTableFieldId="6"/>
    <tableColumn id="7" xr3:uid="{CB996433-5A90-4E58-9F8E-3B976737A76B}" uniqueName="7" name="Ads_Input.Month" queryTableFieldId="7"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A77C27-F979-4C60-AECB-A7DC8A61D740}" name="Merge2" displayName="Merge2" ref="A1:J44" tableType="queryTable" totalsRowShown="0">
  <autoFilter ref="A1:J44" xr:uid="{35A77C27-F979-4C60-AECB-A7DC8A61D740}"/>
  <tableColumns count="10">
    <tableColumn id="1" xr3:uid="{5A4A997A-6CB8-439F-8F96-A293509F977A}" uniqueName="1" name="Date" queryTableFieldId="1" dataDxfId="18"/>
    <tableColumn id="9" xr3:uid="{22E6EB40-D484-440A-B694-82B70537DF48}" uniqueName="9" name="Total Revenue" queryTableFieldId="9" dataDxfId="17" dataCellStyle="Currency"/>
    <tableColumn id="2" xr3:uid="{77449A40-D3F6-47C0-98FF-CDCA102DCF34}" uniqueName="2" name="Gross Profit" queryTableFieldId="2" dataDxfId="16" dataCellStyle="Currency"/>
    <tableColumn id="3" xr3:uid="{C9A965B5-30E4-4821-B82B-5447BA59552A}" uniqueName="3" name="Platform" queryTableFieldId="3" dataDxfId="15"/>
    <tableColumn id="4" xr3:uid="{68C41B69-0508-4438-9029-3D43B3F6EA30}" uniqueName="4" name="Spend" queryTableFieldId="4" dataDxfId="14" dataCellStyle="Currency"/>
    <tableColumn id="5" xr3:uid="{1254BCD0-E642-4001-A165-0E2600FF4F23}" uniqueName="5" name="Clicks" queryTableFieldId="5"/>
    <tableColumn id="6" xr3:uid="{D16B9CD0-8A28-4629-A13A-1612FE7B9DA5}" uniqueName="6" name="Month" queryTableFieldId="6" dataDxfId="13"/>
    <tableColumn id="7" xr3:uid="{5B2E97FC-C533-4006-8694-24CA6AA992D4}" uniqueName="7" name="Expense Per Click" queryTableFieldId="7"/>
    <tableColumn id="8" xr3:uid="{9D32704B-8393-4BAB-ADE0-1108AFA6C200}" uniqueName="8" name="Net Profit Per Day" queryTableFieldId="8" dataDxfId="12" dataCellStyle="Currency"/>
    <tableColumn id="10" xr3:uid="{E0F2E6ED-E3F9-4879-A1E7-250EFEC92FBE}" uniqueName="10" name="ROAS" queryTableFieldId="11" dataDxfId="11" dataCellStyle="Percen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289998-52AD-45C3-8041-985D82BCCF38}" name="Merge1" displayName="Merge1" ref="A1:L141" tableType="queryTable" totalsRowShown="0">
  <autoFilter ref="A1:L141" xr:uid="{FC289998-52AD-45C3-8041-985D82BCCF38}"/>
  <tableColumns count="12">
    <tableColumn id="8" xr3:uid="{F9BF9021-00F6-4972-A67B-D8E981E55AF5}" uniqueName="8" name="Source.Name" queryTableFieldId="18" dataDxfId="10"/>
    <tableColumn id="1" xr3:uid="{F19DE5A8-2A1F-4748-88DF-05DFE62AD5C7}" uniqueName="1" name="Order ID" queryTableFieldId="1" dataDxfId="9"/>
    <tableColumn id="2" xr3:uid="{7A8A674E-689C-4882-99DB-2A9B9DEBED4C}" uniqueName="2" name="Date" queryTableFieldId="2" dataDxfId="8"/>
    <tableColumn id="3" xr3:uid="{4378D44F-CECA-456C-B115-8A70D2ED9168}" uniqueName="3" name="Product SKU" queryTableFieldId="3" dataDxfId="7"/>
    <tableColumn id="4" xr3:uid="{54E6861E-6DBD-448E-9019-C309CB793354}" uniqueName="4" name="Quantity" queryTableFieldId="4"/>
    <tableColumn id="5" xr3:uid="{09294A00-A34D-48F8-8504-36B3B36F339E}" uniqueName="5" name="Gross Sales" queryTableFieldId="5" dataDxfId="6"/>
    <tableColumn id="6" xr3:uid="{7DD49F3F-0B7D-42A2-9BB7-26AACE7B0424}" uniqueName="6" name="Discounts" queryTableFieldId="6" dataDxfId="5"/>
    <tableColumn id="7" xr3:uid="{B288D30A-C5C6-485F-B174-E984E1D28D63}" uniqueName="7" name="Customer City" queryTableFieldId="7" dataDxfId="4"/>
    <tableColumn id="10" xr3:uid="{E9F280F0-AD02-45F5-A950-7A58B22AB9BA}" uniqueName="10" name="Carrier" queryTableFieldId="10" dataDxfId="3"/>
    <tableColumn id="11" xr3:uid="{E4B8B9AC-0CF1-4DA7-9B58-E9B0D5D5B99A}" uniqueName="11" name="Shipping Fee" queryTableFieldId="11" dataDxfId="2"/>
    <tableColumn id="12" xr3:uid="{98A9A959-328A-422A-89AF-D6D00D8612A9}" uniqueName="12" name="Net Profit" queryTableFieldId="16" dataDxfId="1"/>
    <tableColumn id="9" xr3:uid="{A278F49F-5415-4A1E-A2BA-63BCD2C7DB37}" uniqueName="9" name="Month"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E604AE7-45AE-43C8-8DF1-8C83C2AF0D0D}" sourceName="Date">
  <pivotTables>
    <pivotTable tabId="10" name="PivotTable4"/>
  </pivotTables>
  <state minimalRefreshVersion="6" lastRefreshVersion="6" pivotCacheId="844739161" filterType="dateBetween">
    <selection startDate="2026-04-01T00:00:00" endDate="2026-05-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DF5B0DA-026D-4D61-A1F6-0CD0A3895999}" cache="NativeTimeline_Date" caption="Date" showHeader="0" showHorizontalScrollbar="0" level="2" selectionLevel="2" scrollPosition="2026-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B5FE-4DBD-4286-9383-4336078FFC64}">
  <dimension ref="A1:G44"/>
  <sheetViews>
    <sheetView topLeftCell="A2" workbookViewId="0">
      <selection activeCell="I20" sqref="I20"/>
    </sheetView>
  </sheetViews>
  <sheetFormatPr defaultRowHeight="14.4" x14ac:dyDescent="0.3"/>
  <cols>
    <col min="1" max="1" width="10.33203125" bestFit="1" customWidth="1"/>
    <col min="2" max="2" width="12.88671875" bestFit="1" customWidth="1"/>
    <col min="3" max="4" width="10.5546875" bestFit="1" customWidth="1"/>
    <col min="5" max="5" width="8.5546875" bestFit="1" customWidth="1"/>
    <col min="6" max="6" width="11.109375" bestFit="1" customWidth="1"/>
    <col min="7" max="7" width="17.21875" bestFit="1" customWidth="1"/>
  </cols>
  <sheetData>
    <row r="1" spans="1:7" x14ac:dyDescent="0.3">
      <c r="A1" t="s">
        <v>1</v>
      </c>
      <c r="B1" t="s">
        <v>4</v>
      </c>
      <c r="C1" t="s">
        <v>171</v>
      </c>
      <c r="D1" t="s">
        <v>170</v>
      </c>
      <c r="E1" t="s">
        <v>134</v>
      </c>
      <c r="F1" t="s">
        <v>126</v>
      </c>
      <c r="G1" t="s">
        <v>172</v>
      </c>
    </row>
    <row r="2" spans="1:7" x14ac:dyDescent="0.3">
      <c r="A2" s="1">
        <v>46113</v>
      </c>
      <c r="B2">
        <v>780.18</v>
      </c>
      <c r="C2">
        <v>96.57</v>
      </c>
      <c r="D2">
        <v>41.37</v>
      </c>
      <c r="E2">
        <v>77.930000000000007</v>
      </c>
      <c r="F2">
        <v>564.30999999999995</v>
      </c>
      <c r="G2" s="14" t="s">
        <v>131</v>
      </c>
    </row>
    <row r="3" spans="1:7" x14ac:dyDescent="0.3">
      <c r="A3" s="1">
        <v>46114</v>
      </c>
      <c r="B3">
        <v>556.56999999999994</v>
      </c>
      <c r="C3">
        <v>61.53</v>
      </c>
      <c r="D3">
        <v>28.540000000000003</v>
      </c>
      <c r="E3">
        <v>98.46</v>
      </c>
      <c r="F3">
        <v>368.03999999999996</v>
      </c>
      <c r="G3" s="14" t="s">
        <v>131</v>
      </c>
    </row>
    <row r="4" spans="1:7" x14ac:dyDescent="0.3">
      <c r="A4" s="1">
        <v>46115</v>
      </c>
      <c r="B4">
        <v>1356.19</v>
      </c>
      <c r="C4">
        <v>183.76999999999998</v>
      </c>
      <c r="D4">
        <v>63.230000000000004</v>
      </c>
      <c r="E4">
        <v>92.55</v>
      </c>
      <c r="F4">
        <v>1016.6400000000001</v>
      </c>
      <c r="G4" s="14" t="s">
        <v>131</v>
      </c>
    </row>
    <row r="5" spans="1:7" x14ac:dyDescent="0.3">
      <c r="A5" s="1">
        <v>46116</v>
      </c>
      <c r="B5">
        <v>1428.84</v>
      </c>
      <c r="C5">
        <v>186.2</v>
      </c>
      <c r="D5">
        <v>53.63</v>
      </c>
      <c r="E5">
        <v>26.72</v>
      </c>
      <c r="F5">
        <v>1162.2899999999997</v>
      </c>
      <c r="G5" s="14" t="s">
        <v>131</v>
      </c>
    </row>
    <row r="6" spans="1:7" x14ac:dyDescent="0.3">
      <c r="A6" s="1">
        <v>46117</v>
      </c>
      <c r="B6">
        <v>701.58999999999992</v>
      </c>
      <c r="C6">
        <v>77.03</v>
      </c>
      <c r="D6">
        <v>17.100000000000001</v>
      </c>
      <c r="E6">
        <v>89.35</v>
      </c>
      <c r="F6">
        <v>518.1099999999999</v>
      </c>
      <c r="G6" s="14" t="s">
        <v>131</v>
      </c>
    </row>
    <row r="7" spans="1:7" x14ac:dyDescent="0.3">
      <c r="A7" s="1">
        <v>46118</v>
      </c>
      <c r="B7">
        <v>491.77</v>
      </c>
      <c r="C7">
        <v>29.810000000000002</v>
      </c>
      <c r="D7">
        <v>18.990000000000002</v>
      </c>
      <c r="E7">
        <v>40.81</v>
      </c>
      <c r="F7">
        <v>402.15999999999997</v>
      </c>
      <c r="G7" s="14" t="s">
        <v>131</v>
      </c>
    </row>
    <row r="8" spans="1:7" x14ac:dyDescent="0.3">
      <c r="A8" s="1">
        <v>46119</v>
      </c>
      <c r="B8">
        <v>539.9</v>
      </c>
      <c r="C8">
        <v>50.14</v>
      </c>
      <c r="D8">
        <v>38.619999999999997</v>
      </c>
      <c r="E8">
        <v>56.38</v>
      </c>
      <c r="F8">
        <v>394.76</v>
      </c>
      <c r="G8" s="14" t="s">
        <v>131</v>
      </c>
    </row>
    <row r="9" spans="1:7" x14ac:dyDescent="0.3">
      <c r="A9" s="1">
        <v>46120</v>
      </c>
      <c r="B9">
        <v>1200.9000000000001</v>
      </c>
      <c r="C9">
        <v>121.46</v>
      </c>
      <c r="D9">
        <v>57.14</v>
      </c>
      <c r="E9">
        <v>42.26</v>
      </c>
      <c r="F9">
        <v>980.04000000000008</v>
      </c>
      <c r="G9" s="14" t="s">
        <v>131</v>
      </c>
    </row>
    <row r="10" spans="1:7" x14ac:dyDescent="0.3">
      <c r="A10" s="1">
        <v>46121</v>
      </c>
      <c r="B10">
        <v>857.79000000000008</v>
      </c>
      <c r="C10">
        <v>123.71000000000002</v>
      </c>
      <c r="D10">
        <v>48.47</v>
      </c>
      <c r="E10">
        <v>86.79</v>
      </c>
      <c r="F10">
        <v>598.82000000000005</v>
      </c>
      <c r="G10" s="14" t="s">
        <v>131</v>
      </c>
    </row>
    <row r="11" spans="1:7" x14ac:dyDescent="0.3">
      <c r="A11" s="1">
        <v>46122</v>
      </c>
      <c r="B11">
        <v>378.2</v>
      </c>
      <c r="C11">
        <v>52.96</v>
      </c>
      <c r="D11">
        <v>14.36</v>
      </c>
      <c r="E11">
        <v>79.92</v>
      </c>
      <c r="F11">
        <v>230.95999999999998</v>
      </c>
      <c r="G11" s="14" t="s">
        <v>131</v>
      </c>
    </row>
    <row r="12" spans="1:7" x14ac:dyDescent="0.3">
      <c r="A12" s="1">
        <v>46123</v>
      </c>
      <c r="B12">
        <v>231.85</v>
      </c>
      <c r="C12">
        <v>25.97</v>
      </c>
      <c r="D12">
        <v>15.149999999999999</v>
      </c>
      <c r="E12">
        <v>37.94</v>
      </c>
      <c r="F12">
        <v>152.79</v>
      </c>
      <c r="G12" s="14" t="s">
        <v>131</v>
      </c>
    </row>
    <row r="13" spans="1:7" x14ac:dyDescent="0.3">
      <c r="A13" s="1">
        <v>46124</v>
      </c>
      <c r="B13">
        <v>1895.42</v>
      </c>
      <c r="C13">
        <v>301.70000000000005</v>
      </c>
      <c r="D13">
        <v>53.14</v>
      </c>
      <c r="E13">
        <v>80.34</v>
      </c>
      <c r="F13">
        <v>1460.24</v>
      </c>
      <c r="G13" s="14" t="s">
        <v>131</v>
      </c>
    </row>
    <row r="14" spans="1:7" x14ac:dyDescent="0.3">
      <c r="A14" s="1">
        <v>46125</v>
      </c>
      <c r="B14">
        <v>931.25</v>
      </c>
      <c r="C14">
        <v>129.67000000000002</v>
      </c>
      <c r="D14">
        <v>25.53</v>
      </c>
      <c r="E14">
        <v>87.14</v>
      </c>
      <c r="F14">
        <v>688.91</v>
      </c>
      <c r="G14" s="14" t="s">
        <v>131</v>
      </c>
    </row>
    <row r="15" spans="1:7" x14ac:dyDescent="0.3">
      <c r="A15" s="1">
        <v>46126</v>
      </c>
      <c r="B15">
        <v>675.45</v>
      </c>
      <c r="C15">
        <v>109.92</v>
      </c>
      <c r="D15">
        <v>36.839999999999996</v>
      </c>
      <c r="E15">
        <v>39.08</v>
      </c>
      <c r="F15">
        <v>489.61000000000007</v>
      </c>
      <c r="G15" s="14" t="s">
        <v>131</v>
      </c>
    </row>
    <row r="16" spans="1:7" x14ac:dyDescent="0.3">
      <c r="A16" s="1">
        <v>46127</v>
      </c>
      <c r="B16">
        <v>530.98</v>
      </c>
      <c r="C16">
        <v>17.14</v>
      </c>
      <c r="D16">
        <v>25.57</v>
      </c>
      <c r="E16">
        <v>65.12</v>
      </c>
      <c r="F16">
        <v>423.15000000000003</v>
      </c>
      <c r="G16" s="14" t="s">
        <v>131</v>
      </c>
    </row>
    <row r="17" spans="1:7" x14ac:dyDescent="0.3">
      <c r="A17" s="1">
        <v>46129</v>
      </c>
      <c r="B17">
        <v>102.63</v>
      </c>
      <c r="C17">
        <v>11.96</v>
      </c>
      <c r="D17">
        <v>9.51</v>
      </c>
      <c r="E17">
        <v>33.42</v>
      </c>
      <c r="F17">
        <v>47.739999999999981</v>
      </c>
      <c r="G17" s="14" t="s">
        <v>131</v>
      </c>
    </row>
    <row r="18" spans="1:7" x14ac:dyDescent="0.3">
      <c r="A18" s="1">
        <v>46130</v>
      </c>
      <c r="B18">
        <v>982.14</v>
      </c>
      <c r="C18">
        <v>110.85999999999999</v>
      </c>
      <c r="D18">
        <v>47.77</v>
      </c>
      <c r="E18">
        <v>82.22</v>
      </c>
      <c r="F18">
        <v>741.29</v>
      </c>
      <c r="G18" s="14" t="s">
        <v>131</v>
      </c>
    </row>
    <row r="19" spans="1:7" x14ac:dyDescent="0.3">
      <c r="A19" s="1">
        <v>46131</v>
      </c>
      <c r="B19">
        <v>522.30999999999995</v>
      </c>
      <c r="C19">
        <v>63.9</v>
      </c>
      <c r="D19">
        <v>34</v>
      </c>
      <c r="E19">
        <v>28.65</v>
      </c>
      <c r="F19">
        <v>395.76</v>
      </c>
      <c r="G19" s="14" t="s">
        <v>131</v>
      </c>
    </row>
    <row r="20" spans="1:7" x14ac:dyDescent="0.3">
      <c r="A20" s="1">
        <v>46132</v>
      </c>
      <c r="B20">
        <v>331.25</v>
      </c>
      <c r="C20">
        <v>31.819999999999997</v>
      </c>
      <c r="D20">
        <v>25.939999999999998</v>
      </c>
      <c r="E20">
        <v>66.06</v>
      </c>
      <c r="F20">
        <v>207.43</v>
      </c>
      <c r="G20" s="14" t="s">
        <v>131</v>
      </c>
    </row>
    <row r="21" spans="1:7" x14ac:dyDescent="0.3">
      <c r="A21" s="1">
        <v>46133</v>
      </c>
      <c r="B21">
        <v>923.1</v>
      </c>
      <c r="C21">
        <v>137.82</v>
      </c>
      <c r="D21">
        <v>49.59</v>
      </c>
      <c r="E21">
        <v>95.32</v>
      </c>
      <c r="F21">
        <v>640.36999999999989</v>
      </c>
      <c r="G21" s="14" t="s">
        <v>131</v>
      </c>
    </row>
    <row r="22" spans="1:7" x14ac:dyDescent="0.3">
      <c r="A22" s="1">
        <v>46134</v>
      </c>
      <c r="B22">
        <v>509.03999999999996</v>
      </c>
      <c r="C22">
        <v>22.97</v>
      </c>
      <c r="D22">
        <v>16.95</v>
      </c>
      <c r="E22">
        <v>67.37</v>
      </c>
      <c r="F22">
        <v>401.74999999999994</v>
      </c>
      <c r="G22" s="14" t="s">
        <v>131</v>
      </c>
    </row>
    <row r="23" spans="1:7" x14ac:dyDescent="0.3">
      <c r="A23" s="1">
        <v>46135</v>
      </c>
      <c r="B23">
        <v>800.85000000000014</v>
      </c>
      <c r="C23">
        <v>90.37</v>
      </c>
      <c r="D23">
        <v>49.629999999999995</v>
      </c>
      <c r="E23">
        <v>28.15</v>
      </c>
      <c r="F23">
        <v>632.70000000000016</v>
      </c>
      <c r="G23" s="14" t="s">
        <v>131</v>
      </c>
    </row>
    <row r="24" spans="1:7" x14ac:dyDescent="0.3">
      <c r="A24" s="1">
        <v>46136</v>
      </c>
      <c r="B24">
        <v>393.05</v>
      </c>
      <c r="C24">
        <v>36.409999999999997</v>
      </c>
      <c r="D24">
        <v>49.489999999999995</v>
      </c>
      <c r="E24">
        <v>88.02</v>
      </c>
      <c r="F24">
        <v>219.13</v>
      </c>
      <c r="G24" s="14" t="s">
        <v>131</v>
      </c>
    </row>
    <row r="25" spans="1:7" x14ac:dyDescent="0.3">
      <c r="A25" s="1">
        <v>46137</v>
      </c>
      <c r="B25">
        <v>493.08999999999992</v>
      </c>
      <c r="C25">
        <v>50.980000000000004</v>
      </c>
      <c r="D25">
        <v>30.909999999999997</v>
      </c>
      <c r="E25">
        <v>83.7</v>
      </c>
      <c r="F25">
        <v>327.49999999999994</v>
      </c>
      <c r="G25" s="14" t="s">
        <v>131</v>
      </c>
    </row>
    <row r="26" spans="1:7" x14ac:dyDescent="0.3">
      <c r="A26" s="1">
        <v>46138</v>
      </c>
      <c r="B26">
        <v>951.38999999999987</v>
      </c>
      <c r="C26">
        <v>132.64999999999998</v>
      </c>
      <c r="D26">
        <v>30.57</v>
      </c>
      <c r="E26">
        <v>47.78</v>
      </c>
      <c r="F26">
        <v>740.38999999999987</v>
      </c>
      <c r="G26" s="14" t="s">
        <v>131</v>
      </c>
    </row>
    <row r="27" spans="1:7" x14ac:dyDescent="0.3">
      <c r="A27" s="1">
        <v>46139</v>
      </c>
      <c r="B27">
        <v>492.12</v>
      </c>
      <c r="C27">
        <v>26.1</v>
      </c>
      <c r="D27">
        <v>22.22</v>
      </c>
      <c r="E27">
        <v>25.52</v>
      </c>
      <c r="F27">
        <v>418.28</v>
      </c>
      <c r="G27" s="14" t="s">
        <v>131</v>
      </c>
    </row>
    <row r="28" spans="1:7" x14ac:dyDescent="0.3">
      <c r="A28" s="1">
        <v>46140</v>
      </c>
      <c r="B28">
        <v>518.72</v>
      </c>
      <c r="C28">
        <v>17.59</v>
      </c>
      <c r="D28">
        <v>55.79</v>
      </c>
      <c r="E28">
        <v>21.01</v>
      </c>
      <c r="F28">
        <v>424.33000000000004</v>
      </c>
      <c r="G28" s="14" t="s">
        <v>131</v>
      </c>
    </row>
    <row r="29" spans="1:7" x14ac:dyDescent="0.3">
      <c r="A29" s="1">
        <v>46141</v>
      </c>
      <c r="B29">
        <v>913.39</v>
      </c>
      <c r="C29">
        <v>168.66000000000003</v>
      </c>
      <c r="D29">
        <v>21.32</v>
      </c>
      <c r="E29">
        <v>28.44</v>
      </c>
      <c r="F29">
        <v>694.96999999999991</v>
      </c>
      <c r="G29" s="14" t="s">
        <v>131</v>
      </c>
    </row>
    <row r="30" spans="1:7" x14ac:dyDescent="0.3">
      <c r="A30" s="1">
        <v>46142</v>
      </c>
      <c r="B30">
        <v>182.28</v>
      </c>
      <c r="C30">
        <v>1.06</v>
      </c>
      <c r="D30">
        <v>13.81</v>
      </c>
      <c r="E30">
        <v>76.58</v>
      </c>
      <c r="F30">
        <v>90.83</v>
      </c>
      <c r="G30" s="14" t="s">
        <v>131</v>
      </c>
    </row>
    <row r="31" spans="1:7" x14ac:dyDescent="0.3">
      <c r="A31" s="1">
        <v>46145</v>
      </c>
      <c r="B31">
        <v>641.46</v>
      </c>
      <c r="C31">
        <v>109.74000000000001</v>
      </c>
      <c r="D31">
        <v>16.11</v>
      </c>
      <c r="E31">
        <v>83.41</v>
      </c>
      <c r="F31">
        <v>432.20000000000005</v>
      </c>
      <c r="G31" s="14" t="s">
        <v>149</v>
      </c>
    </row>
    <row r="32" spans="1:7" x14ac:dyDescent="0.3">
      <c r="A32" s="1">
        <v>46147</v>
      </c>
      <c r="B32">
        <v>430.6</v>
      </c>
      <c r="C32">
        <v>7.56</v>
      </c>
      <c r="D32">
        <v>12.6</v>
      </c>
      <c r="E32">
        <v>85.79</v>
      </c>
      <c r="F32">
        <v>324.64999999999998</v>
      </c>
      <c r="G32" s="14" t="s">
        <v>149</v>
      </c>
    </row>
    <row r="33" spans="1:7" x14ac:dyDescent="0.3">
      <c r="A33" s="1">
        <v>46148</v>
      </c>
      <c r="B33">
        <v>43.29</v>
      </c>
      <c r="C33">
        <v>7.0000000000000007E-2</v>
      </c>
      <c r="D33">
        <v>12.29</v>
      </c>
      <c r="E33">
        <v>32.18</v>
      </c>
      <c r="F33">
        <v>-1.25</v>
      </c>
      <c r="G33" s="14" t="s">
        <v>149</v>
      </c>
    </row>
    <row r="34" spans="1:7" x14ac:dyDescent="0.3">
      <c r="A34" s="1">
        <v>46149</v>
      </c>
      <c r="B34">
        <v>587.65</v>
      </c>
      <c r="C34">
        <v>45.8</v>
      </c>
      <c r="D34">
        <v>21.37</v>
      </c>
      <c r="E34">
        <v>88</v>
      </c>
      <c r="F34">
        <v>432.48</v>
      </c>
      <c r="G34" s="14" t="s">
        <v>149</v>
      </c>
    </row>
    <row r="35" spans="1:7" x14ac:dyDescent="0.3">
      <c r="A35" s="1">
        <v>46150</v>
      </c>
      <c r="B35">
        <v>336.61</v>
      </c>
      <c r="C35">
        <v>61.86</v>
      </c>
      <c r="D35">
        <v>26.15</v>
      </c>
      <c r="E35">
        <v>95.75</v>
      </c>
      <c r="F35">
        <v>152.85</v>
      </c>
      <c r="G35" s="14" t="s">
        <v>149</v>
      </c>
    </row>
    <row r="36" spans="1:7" x14ac:dyDescent="0.3">
      <c r="A36" s="1">
        <v>46151</v>
      </c>
      <c r="B36">
        <v>325.44</v>
      </c>
      <c r="C36">
        <v>9.3000000000000007</v>
      </c>
      <c r="D36">
        <v>6.52</v>
      </c>
      <c r="E36">
        <v>57.52</v>
      </c>
      <c r="F36">
        <v>252.1</v>
      </c>
      <c r="G36" s="14" t="s">
        <v>149</v>
      </c>
    </row>
    <row r="37" spans="1:7" x14ac:dyDescent="0.3">
      <c r="A37" s="1">
        <v>46155</v>
      </c>
      <c r="B37">
        <v>768.81999999999994</v>
      </c>
      <c r="C37">
        <v>45.910000000000004</v>
      </c>
      <c r="D37">
        <v>29.019999999999996</v>
      </c>
      <c r="E37">
        <v>41.55</v>
      </c>
      <c r="F37">
        <v>652.34</v>
      </c>
      <c r="G37" s="14" t="s">
        <v>149</v>
      </c>
    </row>
    <row r="38" spans="1:7" x14ac:dyDescent="0.3">
      <c r="A38" s="1">
        <v>46156</v>
      </c>
      <c r="B38">
        <v>569.15</v>
      </c>
      <c r="C38">
        <v>14.16</v>
      </c>
      <c r="D38">
        <v>5.43</v>
      </c>
      <c r="E38">
        <v>36.299999999999997</v>
      </c>
      <c r="F38">
        <v>513.2600000000001</v>
      </c>
      <c r="G38" s="14" t="s">
        <v>149</v>
      </c>
    </row>
    <row r="39" spans="1:7" x14ac:dyDescent="0.3">
      <c r="A39" s="1">
        <v>46158</v>
      </c>
      <c r="B39">
        <v>99.84</v>
      </c>
      <c r="C39">
        <v>3.55</v>
      </c>
      <c r="D39">
        <v>9.25</v>
      </c>
      <c r="E39">
        <v>56.97</v>
      </c>
      <c r="F39">
        <v>30.070000000000007</v>
      </c>
      <c r="G39" s="14" t="s">
        <v>149</v>
      </c>
    </row>
    <row r="40" spans="1:7" x14ac:dyDescent="0.3">
      <c r="A40" s="1">
        <v>46159</v>
      </c>
      <c r="B40">
        <v>242.55</v>
      </c>
      <c r="C40">
        <v>24.21</v>
      </c>
      <c r="D40">
        <v>14.9</v>
      </c>
      <c r="E40">
        <v>98.14</v>
      </c>
      <c r="F40">
        <v>105.3</v>
      </c>
      <c r="G40" s="14" t="s">
        <v>149</v>
      </c>
    </row>
    <row r="41" spans="1:7" x14ac:dyDescent="0.3">
      <c r="A41" s="1">
        <v>46160</v>
      </c>
      <c r="B41">
        <v>105.08</v>
      </c>
      <c r="C41">
        <v>7.6</v>
      </c>
      <c r="D41">
        <v>9.6199999999999992</v>
      </c>
      <c r="E41">
        <v>37.270000000000003</v>
      </c>
      <c r="F41">
        <v>50.589999999999996</v>
      </c>
      <c r="G41" s="14" t="s">
        <v>149</v>
      </c>
    </row>
    <row r="42" spans="1:7" x14ac:dyDescent="0.3">
      <c r="A42" s="1">
        <v>46161</v>
      </c>
      <c r="B42">
        <v>48.51</v>
      </c>
      <c r="C42">
        <v>8.08</v>
      </c>
      <c r="D42">
        <v>11.06</v>
      </c>
      <c r="E42">
        <v>79.8</v>
      </c>
      <c r="F42">
        <v>-50.43</v>
      </c>
      <c r="G42" s="14" t="s">
        <v>149</v>
      </c>
    </row>
    <row r="43" spans="1:7" x14ac:dyDescent="0.3">
      <c r="A43" s="1">
        <v>46162</v>
      </c>
      <c r="B43">
        <v>901.71</v>
      </c>
      <c r="C43">
        <v>102.09</v>
      </c>
      <c r="D43">
        <v>35.58</v>
      </c>
      <c r="E43">
        <v>95.51</v>
      </c>
      <c r="F43">
        <v>668.53</v>
      </c>
      <c r="G43" s="14" t="s">
        <v>149</v>
      </c>
    </row>
    <row r="44" spans="1:7" x14ac:dyDescent="0.3">
      <c r="A44" s="1"/>
      <c r="G44" s="1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47B1-AE10-4A86-A3A1-B6A7BE7CC933}">
  <dimension ref="A1:L44"/>
  <sheetViews>
    <sheetView topLeftCell="A28" workbookViewId="0">
      <selection activeCell="K45" sqref="K45"/>
    </sheetView>
  </sheetViews>
  <sheetFormatPr defaultRowHeight="14.4" x14ac:dyDescent="0.3"/>
  <cols>
    <col min="1" max="1" width="10.33203125" bestFit="1" customWidth="1"/>
    <col min="2" max="2" width="14.6640625" bestFit="1" customWidth="1"/>
    <col min="3" max="3" width="12.88671875" bestFit="1" customWidth="1"/>
    <col min="4" max="4" width="10.44140625" bestFit="1" customWidth="1"/>
    <col min="5" max="5" width="8.5546875" bestFit="1" customWidth="1"/>
    <col min="6" max="6" width="8.44140625" bestFit="1" customWidth="1"/>
    <col min="7" max="7" width="8.33203125" bestFit="1" customWidth="1"/>
    <col min="8" max="8" width="18" bestFit="1" customWidth="1"/>
    <col min="9" max="9" width="17.77734375" customWidth="1"/>
    <col min="10" max="10" width="7.88671875" bestFit="1" customWidth="1"/>
  </cols>
  <sheetData>
    <row r="1" spans="1:12" x14ac:dyDescent="0.3">
      <c r="A1" t="s">
        <v>1</v>
      </c>
      <c r="B1" t="s">
        <v>142</v>
      </c>
      <c r="C1" t="s">
        <v>132</v>
      </c>
      <c r="D1" t="s">
        <v>133</v>
      </c>
      <c r="E1" t="s">
        <v>134</v>
      </c>
      <c r="F1" t="s">
        <v>135</v>
      </c>
      <c r="G1" t="s">
        <v>130</v>
      </c>
      <c r="H1" t="s">
        <v>136</v>
      </c>
      <c r="I1" t="s">
        <v>137</v>
      </c>
      <c r="J1" t="s">
        <v>144</v>
      </c>
    </row>
    <row r="2" spans="1:12" x14ac:dyDescent="0.3">
      <c r="A2" s="1">
        <v>46113</v>
      </c>
      <c r="B2" s="7">
        <v>780.18</v>
      </c>
      <c r="C2" s="7">
        <v>642.24</v>
      </c>
      <c r="D2" s="14" t="s">
        <v>138</v>
      </c>
      <c r="E2" s="7">
        <v>77.930000000000007</v>
      </c>
      <c r="F2">
        <v>558</v>
      </c>
      <c r="G2" s="14" t="s">
        <v>131</v>
      </c>
      <c r="H2">
        <v>0.14000000000000001</v>
      </c>
      <c r="I2" s="7">
        <v>564.30999999999995</v>
      </c>
      <c r="J2" s="8">
        <v>10.01</v>
      </c>
    </row>
    <row r="3" spans="1:12" x14ac:dyDescent="0.3">
      <c r="A3" s="1">
        <v>46114</v>
      </c>
      <c r="B3" s="7">
        <v>556.56999999999994</v>
      </c>
      <c r="C3" s="7">
        <v>466.5</v>
      </c>
      <c r="D3" s="14" t="s">
        <v>139</v>
      </c>
      <c r="E3" s="7">
        <v>98.46</v>
      </c>
      <c r="F3">
        <v>626</v>
      </c>
      <c r="G3" s="14" t="s">
        <v>131</v>
      </c>
      <c r="H3">
        <v>0.157</v>
      </c>
      <c r="I3" s="7">
        <v>368.04</v>
      </c>
      <c r="J3" s="8">
        <v>5.65</v>
      </c>
    </row>
    <row r="4" spans="1:12" x14ac:dyDescent="0.3">
      <c r="A4" s="1">
        <v>46115</v>
      </c>
      <c r="B4" s="7">
        <v>1356.19</v>
      </c>
      <c r="C4" s="7">
        <v>1109.19</v>
      </c>
      <c r="D4" s="14" t="s">
        <v>139</v>
      </c>
      <c r="E4" s="7">
        <v>92.55</v>
      </c>
      <c r="F4">
        <v>686</v>
      </c>
      <c r="G4" s="14" t="s">
        <v>131</v>
      </c>
      <c r="H4">
        <v>0.13500000000000001</v>
      </c>
      <c r="I4" s="7">
        <v>1016.6400000000001</v>
      </c>
      <c r="J4" s="8">
        <v>14.65</v>
      </c>
    </row>
    <row r="5" spans="1:12" x14ac:dyDescent="0.3">
      <c r="A5" s="1">
        <v>46116</v>
      </c>
      <c r="B5" s="7">
        <v>1428.84</v>
      </c>
      <c r="C5" s="7">
        <v>1189.0100000000002</v>
      </c>
      <c r="D5" s="14" t="s">
        <v>139</v>
      </c>
      <c r="E5" s="7">
        <v>26.72</v>
      </c>
      <c r="F5">
        <v>518</v>
      </c>
      <c r="G5" s="14" t="s">
        <v>131</v>
      </c>
      <c r="H5">
        <v>5.1999999999999998E-2</v>
      </c>
      <c r="I5" s="7">
        <v>1162.2900000000002</v>
      </c>
      <c r="J5" s="8">
        <v>53.47</v>
      </c>
    </row>
    <row r="6" spans="1:12" x14ac:dyDescent="0.3">
      <c r="A6" s="1">
        <v>46117</v>
      </c>
      <c r="B6" s="7">
        <v>701.58999999999992</v>
      </c>
      <c r="C6" s="7">
        <v>607.45999999999992</v>
      </c>
      <c r="D6" s="14" t="s">
        <v>139</v>
      </c>
      <c r="E6" s="7">
        <v>89.35</v>
      </c>
      <c r="F6">
        <v>266</v>
      </c>
      <c r="G6" s="14" t="s">
        <v>131</v>
      </c>
      <c r="H6">
        <v>0.33600000000000002</v>
      </c>
      <c r="I6" s="7">
        <v>518.1099999999999</v>
      </c>
      <c r="J6" s="8">
        <v>7.85</v>
      </c>
    </row>
    <row r="7" spans="1:12" x14ac:dyDescent="0.3">
      <c r="A7" s="1">
        <v>46118</v>
      </c>
      <c r="B7" s="7">
        <v>491.77</v>
      </c>
      <c r="C7" s="7">
        <v>442.97</v>
      </c>
      <c r="D7" s="14" t="s">
        <v>139</v>
      </c>
      <c r="E7" s="7">
        <v>40.81</v>
      </c>
      <c r="F7">
        <v>415</v>
      </c>
      <c r="G7" s="14" t="s">
        <v>131</v>
      </c>
      <c r="H7">
        <v>9.8000000000000004E-2</v>
      </c>
      <c r="I7" s="7">
        <v>402.16</v>
      </c>
      <c r="J7" s="8">
        <v>12.05</v>
      </c>
    </row>
    <row r="8" spans="1:12" x14ac:dyDescent="0.3">
      <c r="A8" s="1">
        <v>46119</v>
      </c>
      <c r="B8" s="7">
        <v>539.9</v>
      </c>
      <c r="C8" s="7">
        <v>451.14</v>
      </c>
      <c r="D8" s="14" t="s">
        <v>139</v>
      </c>
      <c r="E8" s="7">
        <v>56.38</v>
      </c>
      <c r="F8">
        <v>425</v>
      </c>
      <c r="G8" s="14" t="s">
        <v>131</v>
      </c>
      <c r="H8">
        <v>0.13300000000000001</v>
      </c>
      <c r="I8" s="7">
        <v>394.76</v>
      </c>
      <c r="J8" s="8">
        <v>9.58</v>
      </c>
    </row>
    <row r="9" spans="1:12" x14ac:dyDescent="0.3">
      <c r="A9" s="1">
        <v>46120</v>
      </c>
      <c r="B9" s="7">
        <v>1200.9000000000001</v>
      </c>
      <c r="C9" s="7">
        <v>1022.3</v>
      </c>
      <c r="D9" s="14" t="s">
        <v>138</v>
      </c>
      <c r="E9" s="7">
        <v>42.26</v>
      </c>
      <c r="F9">
        <v>511</v>
      </c>
      <c r="G9" s="14" t="s">
        <v>131</v>
      </c>
      <c r="H9">
        <v>8.3000000000000004E-2</v>
      </c>
      <c r="I9" s="7">
        <v>980.04</v>
      </c>
      <c r="J9" s="8">
        <v>28.42</v>
      </c>
    </row>
    <row r="10" spans="1:12" x14ac:dyDescent="0.3">
      <c r="A10" s="1">
        <v>46121</v>
      </c>
      <c r="B10" s="7">
        <v>857.79000000000008</v>
      </c>
      <c r="C10" s="7">
        <v>685.6099999999999</v>
      </c>
      <c r="D10" s="14" t="s">
        <v>138</v>
      </c>
      <c r="E10" s="7">
        <v>86.79</v>
      </c>
      <c r="F10">
        <v>561</v>
      </c>
      <c r="G10" s="14" t="s">
        <v>131</v>
      </c>
      <c r="H10">
        <v>0.155</v>
      </c>
      <c r="I10" s="7">
        <v>598.81999999999994</v>
      </c>
      <c r="J10" s="8">
        <v>9.8800000000000008</v>
      </c>
      <c r="L10" s="6"/>
    </row>
    <row r="11" spans="1:12" x14ac:dyDescent="0.3">
      <c r="A11" s="1">
        <v>46122</v>
      </c>
      <c r="B11" s="7">
        <v>378.2</v>
      </c>
      <c r="C11" s="7">
        <v>310.88</v>
      </c>
      <c r="D11" s="14" t="s">
        <v>139</v>
      </c>
      <c r="E11" s="7">
        <v>79.92</v>
      </c>
      <c r="F11">
        <v>133</v>
      </c>
      <c r="G11" s="14" t="s">
        <v>131</v>
      </c>
      <c r="H11">
        <v>0.60099999999999998</v>
      </c>
      <c r="I11" s="7">
        <v>230.95999999999998</v>
      </c>
      <c r="J11" s="8">
        <v>4.7300000000000004</v>
      </c>
    </row>
    <row r="12" spans="1:12" x14ac:dyDescent="0.3">
      <c r="A12" s="1">
        <v>46123</v>
      </c>
      <c r="B12" s="7">
        <v>231.85</v>
      </c>
      <c r="C12" s="7">
        <v>190.73</v>
      </c>
      <c r="D12" s="14" t="s">
        <v>138</v>
      </c>
      <c r="E12" s="7">
        <v>37.94</v>
      </c>
      <c r="F12">
        <v>150</v>
      </c>
      <c r="G12" s="14" t="s">
        <v>131</v>
      </c>
      <c r="H12">
        <v>0.253</v>
      </c>
      <c r="I12" s="7">
        <v>152.79</v>
      </c>
      <c r="J12" s="8">
        <v>6.11</v>
      </c>
    </row>
    <row r="13" spans="1:12" x14ac:dyDescent="0.3">
      <c r="A13" s="1">
        <v>46124</v>
      </c>
      <c r="B13" s="7">
        <v>1895.42</v>
      </c>
      <c r="C13" s="7">
        <v>1540.58</v>
      </c>
      <c r="D13" s="14" t="s">
        <v>139</v>
      </c>
      <c r="E13" s="7">
        <v>80.34</v>
      </c>
      <c r="F13">
        <v>333</v>
      </c>
      <c r="G13" s="14" t="s">
        <v>131</v>
      </c>
      <c r="H13">
        <v>0.24099999999999999</v>
      </c>
      <c r="I13" s="7">
        <v>1460.24</v>
      </c>
      <c r="J13" s="8">
        <v>23.59</v>
      </c>
    </row>
    <row r="14" spans="1:12" x14ac:dyDescent="0.3">
      <c r="A14" s="1">
        <v>46125</v>
      </c>
      <c r="B14" s="7">
        <v>931.25</v>
      </c>
      <c r="C14" s="7">
        <v>776.05</v>
      </c>
      <c r="D14" s="14" t="s">
        <v>139</v>
      </c>
      <c r="E14" s="7">
        <v>87.14</v>
      </c>
      <c r="F14">
        <v>716</v>
      </c>
      <c r="G14" s="14" t="s">
        <v>131</v>
      </c>
      <c r="H14">
        <v>0.122</v>
      </c>
      <c r="I14" s="7">
        <v>688.91</v>
      </c>
      <c r="J14" s="8">
        <v>10.69</v>
      </c>
    </row>
    <row r="15" spans="1:12" x14ac:dyDescent="0.3">
      <c r="A15" s="1">
        <v>46126</v>
      </c>
      <c r="B15" s="7">
        <v>675.45</v>
      </c>
      <c r="C15" s="7">
        <v>528.69000000000005</v>
      </c>
      <c r="D15" s="14" t="s">
        <v>139</v>
      </c>
      <c r="E15" s="7">
        <v>39.08</v>
      </c>
      <c r="F15">
        <v>564</v>
      </c>
      <c r="G15" s="14" t="s">
        <v>131</v>
      </c>
      <c r="H15">
        <v>6.9000000000000006E-2</v>
      </c>
      <c r="I15" s="7">
        <v>489.61000000000007</v>
      </c>
      <c r="J15" s="8">
        <v>17.28</v>
      </c>
    </row>
    <row r="16" spans="1:12" x14ac:dyDescent="0.3">
      <c r="A16" s="1">
        <v>46127</v>
      </c>
      <c r="B16" s="7">
        <v>530.98</v>
      </c>
      <c r="C16" s="7">
        <v>488.26999999999992</v>
      </c>
      <c r="D16" s="14" t="s">
        <v>139</v>
      </c>
      <c r="E16" s="7">
        <v>65.12</v>
      </c>
      <c r="F16">
        <v>303</v>
      </c>
      <c r="G16" s="14" t="s">
        <v>131</v>
      </c>
      <c r="H16">
        <v>0.215</v>
      </c>
      <c r="I16" s="7">
        <v>423.14999999999992</v>
      </c>
      <c r="J16" s="8">
        <v>8.15</v>
      </c>
    </row>
    <row r="17" spans="1:10" x14ac:dyDescent="0.3">
      <c r="A17" s="1">
        <v>46129</v>
      </c>
      <c r="B17" s="7">
        <v>102.63</v>
      </c>
      <c r="C17" s="7">
        <v>81.159999999999982</v>
      </c>
      <c r="D17" s="14" t="s">
        <v>138</v>
      </c>
      <c r="E17" s="7">
        <v>33.42</v>
      </c>
      <c r="F17">
        <v>701</v>
      </c>
      <c r="G17" s="14" t="s">
        <v>131</v>
      </c>
      <c r="H17">
        <v>4.8000000000000001E-2</v>
      </c>
      <c r="I17" s="7">
        <v>47.739999999999981</v>
      </c>
      <c r="J17" s="8">
        <v>3.07</v>
      </c>
    </row>
    <row r="18" spans="1:10" x14ac:dyDescent="0.3">
      <c r="A18" s="1">
        <v>46130</v>
      </c>
      <c r="B18" s="7">
        <v>982.14</v>
      </c>
      <c r="C18" s="7">
        <v>823.51</v>
      </c>
      <c r="D18" s="14" t="s">
        <v>139</v>
      </c>
      <c r="E18" s="7">
        <v>82.22</v>
      </c>
      <c r="F18">
        <v>247</v>
      </c>
      <c r="G18" s="14" t="s">
        <v>131</v>
      </c>
      <c r="H18">
        <v>0.33300000000000002</v>
      </c>
      <c r="I18" s="7">
        <v>741.29</v>
      </c>
      <c r="J18" s="8">
        <v>11.95</v>
      </c>
    </row>
    <row r="19" spans="1:10" x14ac:dyDescent="0.3">
      <c r="A19" s="1">
        <v>46131</v>
      </c>
      <c r="B19" s="7">
        <v>522.30999999999995</v>
      </c>
      <c r="C19" s="7">
        <v>424.41000000000008</v>
      </c>
      <c r="D19" s="14" t="s">
        <v>138</v>
      </c>
      <c r="E19" s="7">
        <v>28.65</v>
      </c>
      <c r="F19">
        <v>106</v>
      </c>
      <c r="G19" s="14" t="s">
        <v>131</v>
      </c>
      <c r="H19">
        <v>0.27</v>
      </c>
      <c r="I19" s="7">
        <v>395.7600000000001</v>
      </c>
      <c r="J19" s="8">
        <v>18.23</v>
      </c>
    </row>
    <row r="20" spans="1:10" x14ac:dyDescent="0.3">
      <c r="A20" s="1">
        <v>46132</v>
      </c>
      <c r="B20" s="7">
        <v>331.25</v>
      </c>
      <c r="C20" s="7">
        <v>273.49</v>
      </c>
      <c r="D20" s="14" t="s">
        <v>138</v>
      </c>
      <c r="E20" s="7">
        <v>66.06</v>
      </c>
      <c r="F20">
        <v>464</v>
      </c>
      <c r="G20" s="14" t="s">
        <v>131</v>
      </c>
      <c r="H20">
        <v>0.14199999999999999</v>
      </c>
      <c r="I20" s="7">
        <v>207.43</v>
      </c>
      <c r="J20" s="8">
        <v>5.01</v>
      </c>
    </row>
    <row r="21" spans="1:10" x14ac:dyDescent="0.3">
      <c r="A21" s="1">
        <v>46133</v>
      </c>
      <c r="B21" s="7">
        <v>923.1</v>
      </c>
      <c r="C21" s="7">
        <v>735.69</v>
      </c>
      <c r="D21" s="14" t="s">
        <v>138</v>
      </c>
      <c r="E21" s="7">
        <v>95.32</v>
      </c>
      <c r="F21">
        <v>283</v>
      </c>
      <c r="G21" s="14" t="s">
        <v>131</v>
      </c>
      <c r="H21">
        <v>0.33700000000000002</v>
      </c>
      <c r="I21" s="7">
        <v>640.37000000000012</v>
      </c>
      <c r="J21" s="8">
        <v>9.68</v>
      </c>
    </row>
    <row r="22" spans="1:10" x14ac:dyDescent="0.3">
      <c r="A22" s="1">
        <v>46134</v>
      </c>
      <c r="B22" s="7">
        <v>509.03999999999996</v>
      </c>
      <c r="C22" s="7">
        <v>469.12</v>
      </c>
      <c r="D22" s="14" t="s">
        <v>139</v>
      </c>
      <c r="E22" s="7">
        <v>67.37</v>
      </c>
      <c r="F22">
        <v>722</v>
      </c>
      <c r="G22" s="14" t="s">
        <v>131</v>
      </c>
      <c r="H22">
        <v>9.2999999999999999E-2</v>
      </c>
      <c r="I22" s="7">
        <v>401.75</v>
      </c>
      <c r="J22" s="8">
        <v>7.56</v>
      </c>
    </row>
    <row r="23" spans="1:10" x14ac:dyDescent="0.3">
      <c r="A23" s="1">
        <v>46135</v>
      </c>
      <c r="B23" s="7">
        <v>800.85000000000014</v>
      </c>
      <c r="C23" s="7">
        <v>660.85</v>
      </c>
      <c r="D23" s="14" t="s">
        <v>139</v>
      </c>
      <c r="E23" s="7">
        <v>28.15</v>
      </c>
      <c r="F23">
        <v>871</v>
      </c>
      <c r="G23" s="14" t="s">
        <v>131</v>
      </c>
      <c r="H23">
        <v>3.2000000000000001E-2</v>
      </c>
      <c r="I23" s="7">
        <v>632.70000000000005</v>
      </c>
      <c r="J23" s="8">
        <v>28.45</v>
      </c>
    </row>
    <row r="24" spans="1:10" x14ac:dyDescent="0.3">
      <c r="A24" s="1">
        <v>46136</v>
      </c>
      <c r="B24" s="7">
        <v>393.05</v>
      </c>
      <c r="C24" s="7">
        <v>307.15000000000003</v>
      </c>
      <c r="D24" s="14" t="s">
        <v>138</v>
      </c>
      <c r="E24" s="7">
        <v>88.02</v>
      </c>
      <c r="F24">
        <v>694</v>
      </c>
      <c r="G24" s="14" t="s">
        <v>131</v>
      </c>
      <c r="H24">
        <v>0.127</v>
      </c>
      <c r="I24" s="7">
        <v>219.13000000000005</v>
      </c>
      <c r="J24" s="8">
        <v>4.47</v>
      </c>
    </row>
    <row r="25" spans="1:10" x14ac:dyDescent="0.3">
      <c r="A25" s="1">
        <v>46137</v>
      </c>
      <c r="B25" s="7">
        <v>493.08999999999992</v>
      </c>
      <c r="C25" s="7">
        <v>411.2</v>
      </c>
      <c r="D25" s="14" t="s">
        <v>139</v>
      </c>
      <c r="E25" s="7">
        <v>83.7</v>
      </c>
      <c r="F25">
        <v>659</v>
      </c>
      <c r="G25" s="14" t="s">
        <v>131</v>
      </c>
      <c r="H25">
        <v>0.127</v>
      </c>
      <c r="I25" s="7">
        <v>327.5</v>
      </c>
      <c r="J25" s="8">
        <v>5.89</v>
      </c>
    </row>
    <row r="26" spans="1:10" x14ac:dyDescent="0.3">
      <c r="A26" s="1">
        <v>46138</v>
      </c>
      <c r="B26" s="7">
        <v>951.38999999999987</v>
      </c>
      <c r="C26" s="7">
        <v>788.17000000000007</v>
      </c>
      <c r="D26" s="14" t="s">
        <v>139</v>
      </c>
      <c r="E26" s="7">
        <v>47.78</v>
      </c>
      <c r="F26">
        <v>518</v>
      </c>
      <c r="G26" s="14" t="s">
        <v>131</v>
      </c>
      <c r="H26">
        <v>9.1999999999999998E-2</v>
      </c>
      <c r="I26" s="7">
        <v>740.3900000000001</v>
      </c>
      <c r="J26" s="8">
        <v>19.91</v>
      </c>
    </row>
    <row r="27" spans="1:10" x14ac:dyDescent="0.3">
      <c r="A27" s="1">
        <v>46139</v>
      </c>
      <c r="B27" s="7">
        <v>492.12</v>
      </c>
      <c r="C27" s="7">
        <v>443.8</v>
      </c>
      <c r="D27" s="14" t="s">
        <v>138</v>
      </c>
      <c r="E27" s="7">
        <v>25.52</v>
      </c>
      <c r="F27">
        <v>743</v>
      </c>
      <c r="G27" s="14" t="s">
        <v>131</v>
      </c>
      <c r="H27">
        <v>3.4000000000000002E-2</v>
      </c>
      <c r="I27" s="7">
        <v>418.28000000000003</v>
      </c>
      <c r="J27" s="8">
        <v>19.28</v>
      </c>
    </row>
    <row r="28" spans="1:10" x14ac:dyDescent="0.3">
      <c r="A28" s="1">
        <v>46140</v>
      </c>
      <c r="B28" s="7">
        <v>518.72</v>
      </c>
      <c r="C28" s="7">
        <v>445.34</v>
      </c>
      <c r="D28" s="14" t="s">
        <v>138</v>
      </c>
      <c r="E28" s="7">
        <v>21.01</v>
      </c>
      <c r="F28">
        <v>510</v>
      </c>
      <c r="G28" s="14" t="s">
        <v>131</v>
      </c>
      <c r="H28">
        <v>4.1000000000000002E-2</v>
      </c>
      <c r="I28" s="7">
        <v>424.33</v>
      </c>
      <c r="J28" s="8">
        <v>24.69</v>
      </c>
    </row>
    <row r="29" spans="1:10" x14ac:dyDescent="0.3">
      <c r="A29" s="1">
        <v>46141</v>
      </c>
      <c r="B29" s="7">
        <v>913.39</v>
      </c>
      <c r="C29" s="7">
        <v>723.41</v>
      </c>
      <c r="D29" s="14" t="s">
        <v>138</v>
      </c>
      <c r="E29" s="7">
        <v>28.44</v>
      </c>
      <c r="F29">
        <v>450</v>
      </c>
      <c r="G29" s="14" t="s">
        <v>131</v>
      </c>
      <c r="H29">
        <v>6.3E-2</v>
      </c>
      <c r="I29" s="7">
        <v>694.96999999999991</v>
      </c>
      <c r="J29" s="8">
        <v>32.119999999999997</v>
      </c>
    </row>
    <row r="30" spans="1:10" x14ac:dyDescent="0.3">
      <c r="A30" s="1">
        <v>46142</v>
      </c>
      <c r="B30" s="7">
        <v>182.28</v>
      </c>
      <c r="C30" s="7">
        <v>167.41</v>
      </c>
      <c r="D30" s="14" t="s">
        <v>138</v>
      </c>
      <c r="E30" s="7">
        <v>76.58</v>
      </c>
      <c r="F30">
        <v>525</v>
      </c>
      <c r="G30" s="14" t="s">
        <v>131</v>
      </c>
      <c r="H30">
        <v>0.14599999999999999</v>
      </c>
      <c r="I30" s="7">
        <v>90.83</v>
      </c>
      <c r="J30" s="8">
        <v>2.38</v>
      </c>
    </row>
    <row r="31" spans="1:10" x14ac:dyDescent="0.3">
      <c r="A31" s="1">
        <v>46145</v>
      </c>
      <c r="B31" s="7">
        <v>641.46</v>
      </c>
      <c r="C31" s="7">
        <v>515.6099999999999</v>
      </c>
      <c r="D31" s="14" t="s">
        <v>139</v>
      </c>
      <c r="E31" s="7">
        <v>83.41</v>
      </c>
      <c r="F31">
        <v>887</v>
      </c>
      <c r="G31" s="14" t="s">
        <v>149</v>
      </c>
      <c r="H31">
        <v>9.4E-2</v>
      </c>
      <c r="I31" s="7">
        <v>432.19999999999993</v>
      </c>
      <c r="J31" s="8">
        <v>7.69</v>
      </c>
    </row>
    <row r="32" spans="1:10" x14ac:dyDescent="0.3">
      <c r="A32" s="1">
        <v>46147</v>
      </c>
      <c r="B32" s="7">
        <v>430.6</v>
      </c>
      <c r="C32" s="7">
        <v>410.44</v>
      </c>
      <c r="D32" s="14" t="s">
        <v>138</v>
      </c>
      <c r="E32" s="7">
        <v>85.79</v>
      </c>
      <c r="F32">
        <v>778</v>
      </c>
      <c r="G32" s="14" t="s">
        <v>149</v>
      </c>
      <c r="H32">
        <v>0.11</v>
      </c>
      <c r="I32" s="7">
        <v>324.64999999999998</v>
      </c>
      <c r="J32" s="8">
        <v>5.0199999999999996</v>
      </c>
    </row>
    <row r="33" spans="1:10" x14ac:dyDescent="0.3">
      <c r="A33" s="1">
        <v>46148</v>
      </c>
      <c r="B33" s="7">
        <v>43.29</v>
      </c>
      <c r="C33" s="7">
        <v>30.93</v>
      </c>
      <c r="D33" s="14" t="s">
        <v>139</v>
      </c>
      <c r="E33" s="7">
        <v>32.18</v>
      </c>
      <c r="F33">
        <v>756</v>
      </c>
      <c r="G33" s="14" t="s">
        <v>149</v>
      </c>
      <c r="H33">
        <v>4.2999999999999997E-2</v>
      </c>
      <c r="I33" s="7">
        <v>-1.25</v>
      </c>
      <c r="J33" s="8">
        <v>1.35</v>
      </c>
    </row>
    <row r="34" spans="1:10" x14ac:dyDescent="0.3">
      <c r="A34" s="1">
        <v>46149</v>
      </c>
      <c r="B34" s="7">
        <v>587.65</v>
      </c>
      <c r="C34" s="7">
        <v>520.48</v>
      </c>
      <c r="D34" s="14" t="s">
        <v>139</v>
      </c>
      <c r="E34" s="7">
        <v>88</v>
      </c>
      <c r="F34">
        <v>426</v>
      </c>
      <c r="G34" s="14" t="s">
        <v>149</v>
      </c>
      <c r="H34">
        <v>0.20699999999999999</v>
      </c>
      <c r="I34" s="7">
        <v>432.48</v>
      </c>
      <c r="J34" s="8">
        <v>6.68</v>
      </c>
    </row>
    <row r="35" spans="1:10" x14ac:dyDescent="0.3">
      <c r="A35" s="1">
        <v>46150</v>
      </c>
      <c r="B35" s="7">
        <v>336.61</v>
      </c>
      <c r="C35" s="7">
        <v>248.6</v>
      </c>
      <c r="D35" s="14" t="s">
        <v>139</v>
      </c>
      <c r="E35" s="7">
        <v>95.75</v>
      </c>
      <c r="F35">
        <v>621</v>
      </c>
      <c r="G35" s="14" t="s">
        <v>149</v>
      </c>
      <c r="H35">
        <v>0.154</v>
      </c>
      <c r="I35" s="7">
        <v>152.85</v>
      </c>
      <c r="J35" s="8">
        <v>3.52</v>
      </c>
    </row>
    <row r="36" spans="1:10" x14ac:dyDescent="0.3">
      <c r="A36" s="1">
        <v>46151</v>
      </c>
      <c r="B36" s="7">
        <v>325.44</v>
      </c>
      <c r="C36" s="7">
        <v>309.62</v>
      </c>
      <c r="D36" s="14" t="s">
        <v>139</v>
      </c>
      <c r="E36" s="7">
        <v>57.52</v>
      </c>
      <c r="F36">
        <v>492</v>
      </c>
      <c r="G36" s="14" t="s">
        <v>149</v>
      </c>
      <c r="H36">
        <v>0.11700000000000001</v>
      </c>
      <c r="I36" s="7">
        <v>252.1</v>
      </c>
      <c r="J36" s="8">
        <v>5.66</v>
      </c>
    </row>
    <row r="37" spans="1:10" x14ac:dyDescent="0.3">
      <c r="A37" s="1">
        <v>46155</v>
      </c>
      <c r="B37" s="7">
        <v>768.81999999999994</v>
      </c>
      <c r="C37" s="7">
        <v>693.89</v>
      </c>
      <c r="D37" s="14" t="s">
        <v>139</v>
      </c>
      <c r="E37" s="7">
        <v>41.55</v>
      </c>
      <c r="F37">
        <v>87</v>
      </c>
      <c r="G37" s="14" t="s">
        <v>149</v>
      </c>
      <c r="H37">
        <v>0.47799999999999998</v>
      </c>
      <c r="I37" s="7">
        <v>652.34</v>
      </c>
      <c r="J37" s="8">
        <v>18.5</v>
      </c>
    </row>
    <row r="38" spans="1:10" x14ac:dyDescent="0.3">
      <c r="A38" s="1">
        <v>46156</v>
      </c>
      <c r="B38" s="7">
        <v>569.15</v>
      </c>
      <c r="C38" s="7">
        <v>549.56000000000006</v>
      </c>
      <c r="D38" s="14" t="s">
        <v>138</v>
      </c>
      <c r="E38" s="7">
        <v>36.299999999999997</v>
      </c>
      <c r="F38">
        <v>627</v>
      </c>
      <c r="G38" s="14" t="s">
        <v>149</v>
      </c>
      <c r="H38">
        <v>5.8000000000000003E-2</v>
      </c>
      <c r="I38" s="7">
        <v>513.2600000000001</v>
      </c>
      <c r="J38" s="8">
        <v>15.68</v>
      </c>
    </row>
    <row r="39" spans="1:10" x14ac:dyDescent="0.3">
      <c r="A39" s="1">
        <v>46158</v>
      </c>
      <c r="B39" s="7">
        <v>99.84</v>
      </c>
      <c r="C39" s="7">
        <v>87.04</v>
      </c>
      <c r="D39" s="14" t="s">
        <v>139</v>
      </c>
      <c r="E39" s="7">
        <v>56.97</v>
      </c>
      <c r="F39">
        <v>282</v>
      </c>
      <c r="G39" s="14" t="s">
        <v>149</v>
      </c>
      <c r="H39">
        <v>0.20200000000000001</v>
      </c>
      <c r="I39" s="7">
        <v>30.070000000000007</v>
      </c>
      <c r="J39" s="8">
        <v>1.75</v>
      </c>
    </row>
    <row r="40" spans="1:10" x14ac:dyDescent="0.3">
      <c r="A40" s="1">
        <v>46159</v>
      </c>
      <c r="B40" s="7">
        <v>242.55</v>
      </c>
      <c r="C40" s="7">
        <v>203.44</v>
      </c>
      <c r="D40" s="14" t="s">
        <v>138</v>
      </c>
      <c r="E40" s="7">
        <v>98.14</v>
      </c>
      <c r="F40">
        <v>446</v>
      </c>
      <c r="G40" s="14" t="s">
        <v>149</v>
      </c>
      <c r="H40">
        <v>0.22</v>
      </c>
      <c r="I40" s="7">
        <v>105.3</v>
      </c>
      <c r="J40" s="8">
        <v>2.4700000000000002</v>
      </c>
    </row>
    <row r="41" spans="1:10" x14ac:dyDescent="0.3">
      <c r="A41" s="1">
        <v>46160</v>
      </c>
      <c r="B41" s="7">
        <v>105.08</v>
      </c>
      <c r="C41" s="7">
        <v>87.86</v>
      </c>
      <c r="D41" s="14" t="s">
        <v>139</v>
      </c>
      <c r="E41" s="7">
        <v>37.270000000000003</v>
      </c>
      <c r="F41">
        <v>812</v>
      </c>
      <c r="G41" s="14" t="s">
        <v>149</v>
      </c>
      <c r="H41">
        <v>4.5999999999999999E-2</v>
      </c>
      <c r="I41" s="7">
        <v>50.589999999999996</v>
      </c>
      <c r="J41" s="8">
        <v>2.82</v>
      </c>
    </row>
    <row r="42" spans="1:10" x14ac:dyDescent="0.3">
      <c r="A42" s="1">
        <v>46161</v>
      </c>
      <c r="B42" s="7">
        <v>48.51</v>
      </c>
      <c r="C42" s="7">
        <v>29.369999999999997</v>
      </c>
      <c r="D42" s="14" t="s">
        <v>139</v>
      </c>
      <c r="E42" s="7">
        <v>79.8</v>
      </c>
      <c r="F42">
        <v>532</v>
      </c>
      <c r="G42" s="14" t="s">
        <v>149</v>
      </c>
      <c r="H42">
        <v>0.15</v>
      </c>
      <c r="I42" s="7">
        <v>-50.43</v>
      </c>
      <c r="J42" s="8">
        <v>0.61</v>
      </c>
    </row>
    <row r="43" spans="1:10" x14ac:dyDescent="0.3">
      <c r="A43" s="1">
        <v>46162</v>
      </c>
      <c r="B43" s="7">
        <v>901.71</v>
      </c>
      <c r="C43" s="7">
        <v>764.04</v>
      </c>
      <c r="D43" s="14" t="s">
        <v>139</v>
      </c>
      <c r="E43" s="7">
        <v>95.51</v>
      </c>
      <c r="F43">
        <v>756</v>
      </c>
      <c r="G43" s="14" t="s">
        <v>149</v>
      </c>
      <c r="H43">
        <v>0.126</v>
      </c>
      <c r="I43" s="7">
        <v>668.53</v>
      </c>
      <c r="J43" s="8">
        <v>9.44</v>
      </c>
    </row>
    <row r="44" spans="1:10" x14ac:dyDescent="0.3">
      <c r="A44" s="1"/>
      <c r="B44" s="7"/>
      <c r="C44" s="7"/>
      <c r="D44" s="14"/>
      <c r="E44" s="7"/>
      <c r="G44" s="14"/>
      <c r="I44" s="7"/>
      <c r="J44"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17D1-C794-45AD-A6BA-22E8E768BD1C}">
  <dimension ref="A1:L141"/>
  <sheetViews>
    <sheetView workbookViewId="0">
      <selection activeCell="K9" sqref="K9"/>
    </sheetView>
  </sheetViews>
  <sheetFormatPr defaultRowHeight="14.4" x14ac:dyDescent="0.3"/>
  <cols>
    <col min="1" max="1" width="23.5546875" bestFit="1" customWidth="1"/>
    <col min="2" max="2" width="10.109375" bestFit="1" customWidth="1"/>
    <col min="3" max="3" width="10.33203125" bestFit="1" customWidth="1"/>
    <col min="4" max="4" width="13.5546875" bestFit="1" customWidth="1"/>
    <col min="5" max="5" width="10.33203125" bestFit="1" customWidth="1"/>
    <col min="6" max="6" width="12.88671875" bestFit="1" customWidth="1"/>
    <col min="7" max="7" width="11.44140625" bestFit="1" customWidth="1"/>
    <col min="8" max="8" width="15" bestFit="1" customWidth="1"/>
    <col min="9" max="9" width="9" bestFit="1" customWidth="1"/>
    <col min="10" max="10" width="13.88671875" bestFit="1" customWidth="1"/>
    <col min="11" max="11" width="11.109375" bestFit="1" customWidth="1"/>
    <col min="12" max="12" width="8.33203125" customWidth="1"/>
    <col min="13" max="14" width="8.33203125" bestFit="1" customWidth="1"/>
    <col min="15" max="15" width="31" bestFit="1" customWidth="1"/>
    <col min="16" max="16" width="36.109375" bestFit="1" customWidth="1"/>
  </cols>
  <sheetData>
    <row r="1" spans="1:12" x14ac:dyDescent="0.3">
      <c r="A1" t="s">
        <v>174</v>
      </c>
      <c r="B1" t="s">
        <v>0</v>
      </c>
      <c r="C1" t="s">
        <v>1</v>
      </c>
      <c r="D1" t="s">
        <v>2</v>
      </c>
      <c r="E1" t="s">
        <v>3</v>
      </c>
      <c r="F1" t="s">
        <v>4</v>
      </c>
      <c r="G1" t="s">
        <v>5</v>
      </c>
      <c r="H1" t="s">
        <v>6</v>
      </c>
      <c r="I1" t="s">
        <v>122</v>
      </c>
      <c r="J1" t="s">
        <v>123</v>
      </c>
      <c r="K1" t="s">
        <v>126</v>
      </c>
      <c r="L1" t="s">
        <v>130</v>
      </c>
    </row>
    <row r="2" spans="1:12" x14ac:dyDescent="0.3">
      <c r="A2" s="14" t="s">
        <v>175</v>
      </c>
      <c r="B2" s="14" t="s">
        <v>7</v>
      </c>
      <c r="C2" s="1">
        <v>46113</v>
      </c>
      <c r="D2" s="14" t="s">
        <v>8</v>
      </c>
      <c r="E2">
        <v>1</v>
      </c>
      <c r="F2" s="6">
        <v>78.959999999999994</v>
      </c>
      <c r="G2" s="6">
        <v>2.7</v>
      </c>
      <c r="H2" s="14" t="s">
        <v>9</v>
      </c>
      <c r="I2" s="14" t="s">
        <v>124</v>
      </c>
      <c r="J2" s="6">
        <v>12.34</v>
      </c>
      <c r="K2" s="6">
        <v>63.919999999999987</v>
      </c>
      <c r="L2" s="14" t="s">
        <v>131</v>
      </c>
    </row>
    <row r="3" spans="1:12" x14ac:dyDescent="0.3">
      <c r="A3" s="14" t="s">
        <v>175</v>
      </c>
      <c r="B3" s="14" t="s">
        <v>10</v>
      </c>
      <c r="C3" s="1">
        <v>46113</v>
      </c>
      <c r="D3" s="14" t="s">
        <v>11</v>
      </c>
      <c r="E3">
        <v>4</v>
      </c>
      <c r="F3" s="6">
        <v>219.36</v>
      </c>
      <c r="G3" s="6">
        <v>43.41</v>
      </c>
      <c r="H3" s="14" t="s">
        <v>12</v>
      </c>
      <c r="I3" s="14" t="s">
        <v>125</v>
      </c>
      <c r="J3" s="6">
        <v>11.16</v>
      </c>
      <c r="K3" s="6">
        <v>164.79000000000002</v>
      </c>
      <c r="L3" s="14" t="s">
        <v>131</v>
      </c>
    </row>
    <row r="4" spans="1:12" x14ac:dyDescent="0.3">
      <c r="A4" s="14" t="s">
        <v>175</v>
      </c>
      <c r="B4" s="14" t="s">
        <v>13</v>
      </c>
      <c r="C4" s="1">
        <v>46113</v>
      </c>
      <c r="D4" s="14" t="s">
        <v>11</v>
      </c>
      <c r="E4">
        <v>3</v>
      </c>
      <c r="F4" s="6">
        <v>310.5</v>
      </c>
      <c r="G4" s="6">
        <v>48.19</v>
      </c>
      <c r="H4" s="14" t="s">
        <v>9</v>
      </c>
      <c r="I4" s="14" t="s">
        <v>125</v>
      </c>
      <c r="J4" s="6">
        <v>9.65</v>
      </c>
      <c r="K4" s="6">
        <v>252.66</v>
      </c>
      <c r="L4" s="14" t="s">
        <v>131</v>
      </c>
    </row>
    <row r="5" spans="1:12" x14ac:dyDescent="0.3">
      <c r="A5" s="14" t="s">
        <v>175</v>
      </c>
      <c r="B5" s="14" t="s">
        <v>14</v>
      </c>
      <c r="C5" s="1">
        <v>46113</v>
      </c>
      <c r="D5" s="14" t="s">
        <v>15</v>
      </c>
      <c r="E5">
        <v>3</v>
      </c>
      <c r="F5" s="6">
        <v>171.36</v>
      </c>
      <c r="G5" s="6">
        <v>2.27</v>
      </c>
      <c r="H5" s="14" t="s">
        <v>16</v>
      </c>
      <c r="I5" s="14" t="s">
        <v>125</v>
      </c>
      <c r="J5" s="6">
        <v>8.2200000000000006</v>
      </c>
      <c r="K5" s="6">
        <v>160.87</v>
      </c>
      <c r="L5" s="14" t="s">
        <v>131</v>
      </c>
    </row>
    <row r="6" spans="1:12" x14ac:dyDescent="0.3">
      <c r="A6" s="14" t="s">
        <v>175</v>
      </c>
      <c r="B6" s="14" t="s">
        <v>17</v>
      </c>
      <c r="C6" s="1">
        <v>46114</v>
      </c>
      <c r="D6" s="14" t="s">
        <v>8</v>
      </c>
      <c r="E6">
        <v>2</v>
      </c>
      <c r="F6" s="6">
        <v>167.64</v>
      </c>
      <c r="G6" s="6">
        <v>13.26</v>
      </c>
      <c r="H6" s="14" t="s">
        <v>18</v>
      </c>
      <c r="I6" s="14" t="s">
        <v>124</v>
      </c>
      <c r="J6" s="6">
        <v>13.31</v>
      </c>
      <c r="K6" s="6">
        <v>141.07</v>
      </c>
      <c r="L6" s="14" t="s">
        <v>131</v>
      </c>
    </row>
    <row r="7" spans="1:12" x14ac:dyDescent="0.3">
      <c r="A7" s="14" t="s">
        <v>175</v>
      </c>
      <c r="B7" s="14" t="s">
        <v>19</v>
      </c>
      <c r="C7" s="1">
        <v>46114</v>
      </c>
      <c r="D7" s="14" t="s">
        <v>11</v>
      </c>
      <c r="E7">
        <v>3</v>
      </c>
      <c r="F7" s="6">
        <v>88.98</v>
      </c>
      <c r="G7" s="6">
        <v>13.26</v>
      </c>
      <c r="H7" s="14" t="s">
        <v>12</v>
      </c>
      <c r="I7" s="14" t="s">
        <v>124</v>
      </c>
      <c r="J7" s="6">
        <v>7.79</v>
      </c>
      <c r="K7" s="6">
        <v>67.929999999999993</v>
      </c>
      <c r="L7" s="14" t="s">
        <v>131</v>
      </c>
    </row>
    <row r="8" spans="1:12" x14ac:dyDescent="0.3">
      <c r="A8" s="14" t="s">
        <v>175</v>
      </c>
      <c r="B8" s="14" t="s">
        <v>20</v>
      </c>
      <c r="C8" s="1">
        <v>46114</v>
      </c>
      <c r="D8" s="14" t="s">
        <v>8</v>
      </c>
      <c r="E8">
        <v>5</v>
      </c>
      <c r="F8" s="6">
        <v>299.95</v>
      </c>
      <c r="G8" s="6">
        <v>35.01</v>
      </c>
      <c r="H8" s="14" t="s">
        <v>21</v>
      </c>
      <c r="I8" s="14" t="s">
        <v>125</v>
      </c>
      <c r="J8" s="6">
        <v>7.44</v>
      </c>
      <c r="K8" s="6">
        <v>257.5</v>
      </c>
      <c r="L8" s="14" t="s">
        <v>131</v>
      </c>
    </row>
    <row r="9" spans="1:12" x14ac:dyDescent="0.3">
      <c r="A9" s="14" t="s">
        <v>175</v>
      </c>
      <c r="B9" s="14" t="s">
        <v>22</v>
      </c>
      <c r="C9" s="1">
        <v>46115</v>
      </c>
      <c r="D9" s="14" t="s">
        <v>11</v>
      </c>
      <c r="E9">
        <v>2</v>
      </c>
      <c r="F9" s="6">
        <v>137</v>
      </c>
      <c r="G9" s="6">
        <v>2.4900000000000002</v>
      </c>
      <c r="H9" s="14" t="s">
        <v>23</v>
      </c>
      <c r="I9" s="14" t="s">
        <v>125</v>
      </c>
      <c r="J9" s="6">
        <v>10.7</v>
      </c>
      <c r="K9" s="6">
        <v>123.80999999999999</v>
      </c>
      <c r="L9" s="14" t="s">
        <v>131</v>
      </c>
    </row>
    <row r="10" spans="1:12" x14ac:dyDescent="0.3">
      <c r="A10" s="14" t="s">
        <v>175</v>
      </c>
      <c r="B10" s="14" t="s">
        <v>24</v>
      </c>
      <c r="C10" s="1">
        <v>46115</v>
      </c>
      <c r="D10" s="14" t="s">
        <v>15</v>
      </c>
      <c r="E10">
        <v>2</v>
      </c>
      <c r="F10" s="6">
        <v>161.76</v>
      </c>
      <c r="G10" s="6">
        <v>25.63</v>
      </c>
      <c r="H10" s="14" t="s">
        <v>25</v>
      </c>
      <c r="I10" s="14" t="s">
        <v>125</v>
      </c>
      <c r="J10" s="6">
        <v>8.36</v>
      </c>
      <c r="K10" s="6">
        <v>127.77</v>
      </c>
      <c r="L10" s="14" t="s">
        <v>131</v>
      </c>
    </row>
    <row r="11" spans="1:12" x14ac:dyDescent="0.3">
      <c r="A11" s="14" t="s">
        <v>175</v>
      </c>
      <c r="B11" s="14" t="s">
        <v>26</v>
      </c>
      <c r="C11" s="1">
        <v>46115</v>
      </c>
      <c r="D11" s="14" t="s">
        <v>27</v>
      </c>
      <c r="E11">
        <v>1</v>
      </c>
      <c r="F11" s="6">
        <v>55.4</v>
      </c>
      <c r="G11" s="6">
        <v>6.6</v>
      </c>
      <c r="H11" s="14" t="s">
        <v>18</v>
      </c>
      <c r="I11" s="14" t="s">
        <v>125</v>
      </c>
      <c r="J11" s="6">
        <v>13.51</v>
      </c>
      <c r="K11" s="6">
        <v>35.29</v>
      </c>
      <c r="L11" s="14" t="s">
        <v>131</v>
      </c>
    </row>
    <row r="12" spans="1:12" x14ac:dyDescent="0.3">
      <c r="A12" s="14" t="s">
        <v>175</v>
      </c>
      <c r="B12" s="14" t="s">
        <v>28</v>
      </c>
      <c r="C12" s="1">
        <v>46115</v>
      </c>
      <c r="D12" s="14" t="s">
        <v>27</v>
      </c>
      <c r="E12">
        <v>3</v>
      </c>
      <c r="F12" s="6">
        <v>350.88</v>
      </c>
      <c r="G12" s="6">
        <v>60.41</v>
      </c>
      <c r="H12" s="14" t="s">
        <v>23</v>
      </c>
      <c r="I12" s="14" t="s">
        <v>124</v>
      </c>
      <c r="J12" s="6">
        <v>9.8800000000000008</v>
      </c>
      <c r="K12" s="6">
        <v>280.59000000000003</v>
      </c>
      <c r="L12" s="14" t="s">
        <v>131</v>
      </c>
    </row>
    <row r="13" spans="1:12" x14ac:dyDescent="0.3">
      <c r="A13" s="14" t="s">
        <v>175</v>
      </c>
      <c r="B13" s="14" t="s">
        <v>29</v>
      </c>
      <c r="C13" s="1">
        <v>46115</v>
      </c>
      <c r="D13" s="14" t="s">
        <v>15</v>
      </c>
      <c r="E13">
        <v>5</v>
      </c>
      <c r="F13" s="6">
        <v>469.2</v>
      </c>
      <c r="G13" s="6">
        <v>72.13</v>
      </c>
      <c r="H13" s="14" t="s">
        <v>21</v>
      </c>
      <c r="I13" s="14" t="s">
        <v>125</v>
      </c>
      <c r="J13" s="6">
        <v>12.98</v>
      </c>
      <c r="K13" s="6">
        <v>384.09</v>
      </c>
      <c r="L13" s="14" t="s">
        <v>131</v>
      </c>
    </row>
    <row r="14" spans="1:12" x14ac:dyDescent="0.3">
      <c r="A14" s="14" t="s">
        <v>175</v>
      </c>
      <c r="B14" s="14" t="s">
        <v>30</v>
      </c>
      <c r="C14" s="1">
        <v>46115</v>
      </c>
      <c r="D14" s="14" t="s">
        <v>15</v>
      </c>
      <c r="E14">
        <v>3</v>
      </c>
      <c r="F14" s="6">
        <v>181.95</v>
      </c>
      <c r="G14" s="6">
        <v>16.510000000000002</v>
      </c>
      <c r="H14" s="14" t="s">
        <v>31</v>
      </c>
      <c r="I14" s="14" t="s">
        <v>125</v>
      </c>
      <c r="J14" s="6">
        <v>7.8</v>
      </c>
      <c r="K14" s="6">
        <v>157.63999999999999</v>
      </c>
      <c r="L14" s="14" t="s">
        <v>131</v>
      </c>
    </row>
    <row r="15" spans="1:12" x14ac:dyDescent="0.3">
      <c r="A15" s="14" t="s">
        <v>175</v>
      </c>
      <c r="B15" s="14" t="s">
        <v>32</v>
      </c>
      <c r="C15" s="1">
        <v>46116</v>
      </c>
      <c r="D15" s="14" t="s">
        <v>27</v>
      </c>
      <c r="E15">
        <v>2</v>
      </c>
      <c r="F15" s="6">
        <v>136.62</v>
      </c>
      <c r="G15" s="6">
        <v>2.91</v>
      </c>
      <c r="H15" s="14" t="s">
        <v>31</v>
      </c>
      <c r="I15" s="14" t="s">
        <v>125</v>
      </c>
      <c r="J15" s="6">
        <v>10.56</v>
      </c>
      <c r="K15" s="6">
        <v>123.15</v>
      </c>
      <c r="L15" s="14" t="s">
        <v>131</v>
      </c>
    </row>
    <row r="16" spans="1:12" x14ac:dyDescent="0.3">
      <c r="A16" s="14" t="s">
        <v>175</v>
      </c>
      <c r="B16" s="14" t="s">
        <v>33</v>
      </c>
      <c r="C16" s="1">
        <v>46116</v>
      </c>
      <c r="D16" s="14" t="s">
        <v>27</v>
      </c>
      <c r="E16">
        <v>5</v>
      </c>
      <c r="F16" s="6">
        <v>179.45</v>
      </c>
      <c r="G16" s="6">
        <v>13.42</v>
      </c>
      <c r="H16" s="14" t="s">
        <v>34</v>
      </c>
      <c r="I16" s="14" t="s">
        <v>124</v>
      </c>
      <c r="J16" s="6">
        <v>5.86</v>
      </c>
      <c r="K16" s="6">
        <v>160.16999999999999</v>
      </c>
      <c r="L16" s="14" t="s">
        <v>131</v>
      </c>
    </row>
    <row r="17" spans="1:12" x14ac:dyDescent="0.3">
      <c r="A17" s="14" t="s">
        <v>175</v>
      </c>
      <c r="B17" s="14" t="s">
        <v>35</v>
      </c>
      <c r="C17" s="1">
        <v>46116</v>
      </c>
      <c r="D17" s="14" t="s">
        <v>27</v>
      </c>
      <c r="E17">
        <v>5</v>
      </c>
      <c r="F17" s="6">
        <v>557.20000000000005</v>
      </c>
      <c r="G17" s="6">
        <v>66.75</v>
      </c>
      <c r="H17" s="14" t="s">
        <v>18</v>
      </c>
      <c r="I17" s="14" t="s">
        <v>125</v>
      </c>
      <c r="J17" s="6">
        <v>9.89</v>
      </c>
      <c r="K17" s="6">
        <v>480.56000000000006</v>
      </c>
      <c r="L17" s="14" t="s">
        <v>131</v>
      </c>
    </row>
    <row r="18" spans="1:12" x14ac:dyDescent="0.3">
      <c r="A18" s="14" t="s">
        <v>175</v>
      </c>
      <c r="B18" s="14" t="s">
        <v>36</v>
      </c>
      <c r="C18" s="1">
        <v>46116</v>
      </c>
      <c r="D18" s="14" t="s">
        <v>15</v>
      </c>
      <c r="E18">
        <v>1</v>
      </c>
      <c r="F18" s="6">
        <v>112.56</v>
      </c>
      <c r="G18" s="6">
        <v>19.78</v>
      </c>
      <c r="H18" s="14" t="s">
        <v>31</v>
      </c>
      <c r="I18" s="14" t="s">
        <v>124</v>
      </c>
      <c r="J18" s="6">
        <v>11.91</v>
      </c>
      <c r="K18" s="6">
        <v>80.87</v>
      </c>
      <c r="L18" s="14" t="s">
        <v>131</v>
      </c>
    </row>
    <row r="19" spans="1:12" x14ac:dyDescent="0.3">
      <c r="A19" s="14" t="s">
        <v>175</v>
      </c>
      <c r="B19" s="14" t="s">
        <v>37</v>
      </c>
      <c r="C19" s="1">
        <v>46116</v>
      </c>
      <c r="D19" s="14" t="s">
        <v>11</v>
      </c>
      <c r="E19">
        <v>1</v>
      </c>
      <c r="F19" s="6">
        <v>40.29</v>
      </c>
      <c r="G19" s="6">
        <v>4.57</v>
      </c>
      <c r="H19" s="14" t="s">
        <v>38</v>
      </c>
      <c r="I19" s="14" t="s">
        <v>125</v>
      </c>
      <c r="J19" s="6">
        <v>9.48</v>
      </c>
      <c r="K19" s="6">
        <v>26.24</v>
      </c>
      <c r="L19" s="14" t="s">
        <v>131</v>
      </c>
    </row>
    <row r="20" spans="1:12" x14ac:dyDescent="0.3">
      <c r="A20" s="14" t="s">
        <v>175</v>
      </c>
      <c r="B20" s="14" t="s">
        <v>39</v>
      </c>
      <c r="C20" s="1">
        <v>46116</v>
      </c>
      <c r="D20" s="14" t="s">
        <v>15</v>
      </c>
      <c r="E20">
        <v>4</v>
      </c>
      <c r="F20" s="6">
        <v>402.72</v>
      </c>
      <c r="G20" s="6">
        <v>78.77</v>
      </c>
      <c r="H20" s="14" t="s">
        <v>12</v>
      </c>
      <c r="I20" s="14" t="s">
        <v>124</v>
      </c>
      <c r="J20" s="6">
        <v>5.93</v>
      </c>
      <c r="K20" s="6">
        <v>318.02000000000004</v>
      </c>
      <c r="L20" s="14" t="s">
        <v>131</v>
      </c>
    </row>
    <row r="21" spans="1:12" x14ac:dyDescent="0.3">
      <c r="A21" s="14" t="s">
        <v>175</v>
      </c>
      <c r="B21" s="14" t="s">
        <v>40</v>
      </c>
      <c r="C21" s="1">
        <v>46117</v>
      </c>
      <c r="D21" s="14" t="s">
        <v>11</v>
      </c>
      <c r="E21">
        <v>2</v>
      </c>
      <c r="F21" s="6">
        <v>168.54</v>
      </c>
      <c r="G21" s="6">
        <v>31.92</v>
      </c>
      <c r="H21" s="14" t="s">
        <v>34</v>
      </c>
      <c r="I21" s="14" t="s">
        <v>124</v>
      </c>
      <c r="J21" s="6">
        <v>9.0399999999999991</v>
      </c>
      <c r="K21" s="6">
        <v>127.58000000000001</v>
      </c>
      <c r="L21" s="14" t="s">
        <v>131</v>
      </c>
    </row>
    <row r="22" spans="1:12" x14ac:dyDescent="0.3">
      <c r="A22" s="14" t="s">
        <v>175</v>
      </c>
      <c r="B22" s="14" t="s">
        <v>41</v>
      </c>
      <c r="C22" s="1">
        <v>46117</v>
      </c>
      <c r="D22" s="14" t="s">
        <v>8</v>
      </c>
      <c r="E22">
        <v>5</v>
      </c>
      <c r="F22" s="6">
        <v>533.04999999999995</v>
      </c>
      <c r="G22" s="6">
        <v>45.11</v>
      </c>
      <c r="H22" s="14" t="s">
        <v>9</v>
      </c>
      <c r="I22" s="14" t="s">
        <v>124</v>
      </c>
      <c r="J22" s="6">
        <v>8.06</v>
      </c>
      <c r="K22" s="6">
        <v>479.87999999999994</v>
      </c>
      <c r="L22" s="14" t="s">
        <v>131</v>
      </c>
    </row>
    <row r="23" spans="1:12" x14ac:dyDescent="0.3">
      <c r="A23" s="14" t="s">
        <v>175</v>
      </c>
      <c r="B23" s="14" t="s">
        <v>42</v>
      </c>
      <c r="C23" s="1">
        <v>46118</v>
      </c>
      <c r="D23" s="14" t="s">
        <v>27</v>
      </c>
      <c r="E23">
        <v>2</v>
      </c>
      <c r="F23" s="6">
        <v>179.72</v>
      </c>
      <c r="G23" s="6">
        <v>14.34</v>
      </c>
      <c r="H23" s="14" t="s">
        <v>21</v>
      </c>
      <c r="I23" s="14" t="s">
        <v>125</v>
      </c>
      <c r="J23" s="6">
        <v>9.73</v>
      </c>
      <c r="K23" s="6">
        <v>155.65</v>
      </c>
      <c r="L23" s="14" t="s">
        <v>131</v>
      </c>
    </row>
    <row r="24" spans="1:12" x14ac:dyDescent="0.3">
      <c r="A24" s="14" t="s">
        <v>175</v>
      </c>
      <c r="B24" s="14" t="s">
        <v>43</v>
      </c>
      <c r="C24" s="1">
        <v>46118</v>
      </c>
      <c r="D24" s="14" t="s">
        <v>44</v>
      </c>
      <c r="E24">
        <v>5</v>
      </c>
      <c r="F24" s="6">
        <v>312.05</v>
      </c>
      <c r="G24" s="6">
        <v>15.47</v>
      </c>
      <c r="H24" s="14" t="s">
        <v>38</v>
      </c>
      <c r="I24" s="14" t="s">
        <v>125</v>
      </c>
      <c r="J24" s="6">
        <v>9.26</v>
      </c>
      <c r="K24" s="6">
        <v>287.32</v>
      </c>
      <c r="L24" s="14" t="s">
        <v>131</v>
      </c>
    </row>
    <row r="25" spans="1:12" x14ac:dyDescent="0.3">
      <c r="A25" s="14" t="s">
        <v>175</v>
      </c>
      <c r="B25" s="14" t="s">
        <v>45</v>
      </c>
      <c r="C25" s="1">
        <v>46119</v>
      </c>
      <c r="D25" s="14" t="s">
        <v>8</v>
      </c>
      <c r="E25">
        <v>1</v>
      </c>
      <c r="F25" s="6">
        <v>76.77</v>
      </c>
      <c r="G25" s="6">
        <v>3.53</v>
      </c>
      <c r="H25" s="14" t="s">
        <v>9</v>
      </c>
      <c r="I25" s="14" t="s">
        <v>125</v>
      </c>
      <c r="J25" s="6">
        <v>8.52</v>
      </c>
      <c r="K25" s="6">
        <v>64.72</v>
      </c>
      <c r="L25" s="14" t="s">
        <v>131</v>
      </c>
    </row>
    <row r="26" spans="1:12" x14ac:dyDescent="0.3">
      <c r="A26" s="14" t="s">
        <v>175</v>
      </c>
      <c r="B26" s="14" t="s">
        <v>46</v>
      </c>
      <c r="C26" s="1">
        <v>46119</v>
      </c>
      <c r="D26" s="14" t="s">
        <v>15</v>
      </c>
      <c r="E26">
        <v>1</v>
      </c>
      <c r="F26" s="6">
        <v>89.32</v>
      </c>
      <c r="G26" s="6">
        <v>1.05</v>
      </c>
      <c r="H26" s="14" t="s">
        <v>38</v>
      </c>
      <c r="I26" s="14" t="s">
        <v>125</v>
      </c>
      <c r="J26" s="6">
        <v>7.71</v>
      </c>
      <c r="K26" s="6">
        <v>80.56</v>
      </c>
      <c r="L26" s="14" t="s">
        <v>131</v>
      </c>
    </row>
    <row r="27" spans="1:12" x14ac:dyDescent="0.3">
      <c r="A27" s="14" t="s">
        <v>175</v>
      </c>
      <c r="B27" s="14" t="s">
        <v>47</v>
      </c>
      <c r="C27" s="1">
        <v>46119</v>
      </c>
      <c r="D27" s="14" t="s">
        <v>15</v>
      </c>
      <c r="E27">
        <v>3</v>
      </c>
      <c r="F27" s="6">
        <v>67.319999999999993</v>
      </c>
      <c r="G27" s="6">
        <v>3.2</v>
      </c>
      <c r="H27" s="14" t="s">
        <v>18</v>
      </c>
      <c r="I27" s="14" t="s">
        <v>125</v>
      </c>
      <c r="J27" s="6">
        <v>7.31</v>
      </c>
      <c r="K27" s="6">
        <v>56.809999999999988</v>
      </c>
      <c r="L27" s="14" t="s">
        <v>131</v>
      </c>
    </row>
    <row r="28" spans="1:12" x14ac:dyDescent="0.3">
      <c r="A28" s="14" t="s">
        <v>175</v>
      </c>
      <c r="B28" s="14" t="s">
        <v>48</v>
      </c>
      <c r="C28" s="1">
        <v>46119</v>
      </c>
      <c r="D28" s="14" t="s">
        <v>11</v>
      </c>
      <c r="E28">
        <v>5</v>
      </c>
      <c r="F28" s="6">
        <v>144.44999999999999</v>
      </c>
      <c r="G28" s="6">
        <v>27.03</v>
      </c>
      <c r="H28" s="14" t="s">
        <v>16</v>
      </c>
      <c r="I28" s="14" t="s">
        <v>124</v>
      </c>
      <c r="J28" s="6">
        <v>8.16</v>
      </c>
      <c r="K28" s="6">
        <v>109.25999999999999</v>
      </c>
      <c r="L28" s="14" t="s">
        <v>131</v>
      </c>
    </row>
    <row r="29" spans="1:12" x14ac:dyDescent="0.3">
      <c r="A29" s="14" t="s">
        <v>175</v>
      </c>
      <c r="B29" s="14" t="s">
        <v>49</v>
      </c>
      <c r="C29" s="1">
        <v>46119</v>
      </c>
      <c r="D29" s="14" t="s">
        <v>27</v>
      </c>
      <c r="E29">
        <v>4</v>
      </c>
      <c r="F29" s="6">
        <v>162.04</v>
      </c>
      <c r="G29" s="6">
        <v>15.33</v>
      </c>
      <c r="H29" s="14" t="s">
        <v>25</v>
      </c>
      <c r="I29" s="14" t="s">
        <v>124</v>
      </c>
      <c r="J29" s="6">
        <v>6.92</v>
      </c>
      <c r="K29" s="6">
        <v>139.79</v>
      </c>
      <c r="L29" s="14" t="s">
        <v>131</v>
      </c>
    </row>
    <row r="30" spans="1:12" x14ac:dyDescent="0.3">
      <c r="A30" s="14" t="s">
        <v>175</v>
      </c>
      <c r="B30" s="14" t="s">
        <v>50</v>
      </c>
      <c r="C30" s="1">
        <v>46120</v>
      </c>
      <c r="D30" s="14" t="s">
        <v>11</v>
      </c>
      <c r="E30">
        <v>1</v>
      </c>
      <c r="F30" s="6">
        <v>25.18</v>
      </c>
      <c r="G30" s="6">
        <v>2.17</v>
      </c>
      <c r="H30" s="14" t="s">
        <v>25</v>
      </c>
      <c r="I30" s="14" t="s">
        <v>125</v>
      </c>
      <c r="J30" s="6">
        <v>7.76</v>
      </c>
      <c r="K30" s="6">
        <v>15.249999999999998</v>
      </c>
      <c r="L30" s="14" t="s">
        <v>131</v>
      </c>
    </row>
    <row r="31" spans="1:12" x14ac:dyDescent="0.3">
      <c r="A31" s="14" t="s">
        <v>175</v>
      </c>
      <c r="B31" s="14" t="s">
        <v>51</v>
      </c>
      <c r="C31" s="1">
        <v>46120</v>
      </c>
      <c r="D31" s="14" t="s">
        <v>44</v>
      </c>
      <c r="E31">
        <v>4</v>
      </c>
      <c r="F31" s="6">
        <v>422.8</v>
      </c>
      <c r="G31" s="6">
        <v>4.58</v>
      </c>
      <c r="H31" s="14" t="s">
        <v>38</v>
      </c>
      <c r="I31" s="14" t="s">
        <v>125</v>
      </c>
      <c r="J31" s="6">
        <v>14.81</v>
      </c>
      <c r="K31" s="6">
        <v>403.41</v>
      </c>
      <c r="L31" s="14" t="s">
        <v>131</v>
      </c>
    </row>
    <row r="32" spans="1:12" x14ac:dyDescent="0.3">
      <c r="A32" s="14" t="s">
        <v>175</v>
      </c>
      <c r="B32" s="14" t="s">
        <v>52</v>
      </c>
      <c r="C32" s="1">
        <v>46120</v>
      </c>
      <c r="D32" s="14" t="s">
        <v>15</v>
      </c>
      <c r="E32">
        <v>4</v>
      </c>
      <c r="F32" s="6">
        <v>365.84</v>
      </c>
      <c r="G32" s="6">
        <v>58.58</v>
      </c>
      <c r="H32" s="14" t="s">
        <v>38</v>
      </c>
      <c r="I32" s="14" t="s">
        <v>124</v>
      </c>
      <c r="J32" s="6">
        <v>7.96</v>
      </c>
      <c r="K32" s="6">
        <v>299.3</v>
      </c>
      <c r="L32" s="14" t="s">
        <v>131</v>
      </c>
    </row>
    <row r="33" spans="1:12" x14ac:dyDescent="0.3">
      <c r="A33" s="14" t="s">
        <v>175</v>
      </c>
      <c r="B33" s="14" t="s">
        <v>53</v>
      </c>
      <c r="C33" s="1">
        <v>46120</v>
      </c>
      <c r="D33" s="14" t="s">
        <v>11</v>
      </c>
      <c r="E33">
        <v>2</v>
      </c>
      <c r="F33" s="6">
        <v>69.94</v>
      </c>
      <c r="G33" s="6">
        <v>6.28</v>
      </c>
      <c r="H33" s="14" t="s">
        <v>25</v>
      </c>
      <c r="I33" s="14" t="s">
        <v>125</v>
      </c>
      <c r="J33" s="6">
        <v>6.79</v>
      </c>
      <c r="K33" s="6">
        <v>56.87</v>
      </c>
      <c r="L33" s="14" t="s">
        <v>131</v>
      </c>
    </row>
    <row r="34" spans="1:12" x14ac:dyDescent="0.3">
      <c r="A34" s="14" t="s">
        <v>175</v>
      </c>
      <c r="B34" s="14" t="s">
        <v>54</v>
      </c>
      <c r="C34" s="1">
        <v>46120</v>
      </c>
      <c r="D34" s="14" t="s">
        <v>11</v>
      </c>
      <c r="E34">
        <v>3</v>
      </c>
      <c r="F34" s="6">
        <v>190.74</v>
      </c>
      <c r="G34" s="6">
        <v>33.36</v>
      </c>
      <c r="H34" s="14" t="s">
        <v>38</v>
      </c>
      <c r="I34" s="14" t="s">
        <v>124</v>
      </c>
      <c r="J34" s="6">
        <v>12.08</v>
      </c>
      <c r="K34" s="6">
        <v>145.29999999999998</v>
      </c>
      <c r="L34" s="14" t="s">
        <v>131</v>
      </c>
    </row>
    <row r="35" spans="1:12" x14ac:dyDescent="0.3">
      <c r="A35" s="14" t="s">
        <v>175</v>
      </c>
      <c r="B35" s="14" t="s">
        <v>55</v>
      </c>
      <c r="C35" s="1">
        <v>46120</v>
      </c>
      <c r="D35" s="14" t="s">
        <v>44</v>
      </c>
      <c r="E35">
        <v>5</v>
      </c>
      <c r="F35" s="6">
        <v>126.4</v>
      </c>
      <c r="G35" s="6">
        <v>16.489999999999998</v>
      </c>
      <c r="H35" s="14" t="s">
        <v>12</v>
      </c>
      <c r="I35" s="14" t="s">
        <v>124</v>
      </c>
      <c r="J35" s="6">
        <v>7.74</v>
      </c>
      <c r="K35" s="6">
        <v>102.17000000000002</v>
      </c>
      <c r="L35" s="14" t="s">
        <v>131</v>
      </c>
    </row>
    <row r="36" spans="1:12" x14ac:dyDescent="0.3">
      <c r="A36" s="14" t="s">
        <v>175</v>
      </c>
      <c r="B36" s="14" t="s">
        <v>56</v>
      </c>
      <c r="C36" s="1">
        <v>46121</v>
      </c>
      <c r="D36" s="14" t="s">
        <v>15</v>
      </c>
      <c r="E36">
        <v>1</v>
      </c>
      <c r="F36" s="6">
        <v>112.27</v>
      </c>
      <c r="G36" s="6">
        <v>19.059999999999999</v>
      </c>
      <c r="H36" s="14" t="s">
        <v>34</v>
      </c>
      <c r="I36" s="14" t="s">
        <v>124</v>
      </c>
      <c r="J36" s="6">
        <v>10.53</v>
      </c>
      <c r="K36" s="6">
        <v>82.679999999999993</v>
      </c>
      <c r="L36" s="14" t="s">
        <v>131</v>
      </c>
    </row>
    <row r="37" spans="1:12" x14ac:dyDescent="0.3">
      <c r="A37" s="14" t="s">
        <v>175</v>
      </c>
      <c r="B37" s="14" t="s">
        <v>57</v>
      </c>
      <c r="C37" s="1">
        <v>46121</v>
      </c>
      <c r="D37" s="14" t="s">
        <v>44</v>
      </c>
      <c r="E37">
        <v>4</v>
      </c>
      <c r="F37" s="6">
        <v>262.16000000000003</v>
      </c>
      <c r="G37" s="6">
        <v>45.34</v>
      </c>
      <c r="H37" s="14" t="s">
        <v>23</v>
      </c>
      <c r="I37" s="14" t="s">
        <v>124</v>
      </c>
      <c r="J37" s="6">
        <v>11.38</v>
      </c>
      <c r="K37" s="6">
        <v>205.44000000000003</v>
      </c>
      <c r="L37" s="14" t="s">
        <v>131</v>
      </c>
    </row>
    <row r="38" spans="1:12" x14ac:dyDescent="0.3">
      <c r="A38" s="14" t="s">
        <v>175</v>
      </c>
      <c r="B38" s="14" t="s">
        <v>58</v>
      </c>
      <c r="C38" s="1">
        <v>46121</v>
      </c>
      <c r="D38" s="14" t="s">
        <v>11</v>
      </c>
      <c r="E38">
        <v>4</v>
      </c>
      <c r="F38" s="6">
        <v>60.92</v>
      </c>
      <c r="G38" s="6">
        <v>4.76</v>
      </c>
      <c r="H38" s="14" t="s">
        <v>18</v>
      </c>
      <c r="I38" s="14" t="s">
        <v>125</v>
      </c>
      <c r="J38" s="6">
        <v>6.03</v>
      </c>
      <c r="K38" s="6">
        <v>50.13</v>
      </c>
      <c r="L38" s="14" t="s">
        <v>131</v>
      </c>
    </row>
    <row r="39" spans="1:12" x14ac:dyDescent="0.3">
      <c r="A39" s="14" t="s">
        <v>175</v>
      </c>
      <c r="B39" s="14" t="s">
        <v>59</v>
      </c>
      <c r="C39" s="1">
        <v>46121</v>
      </c>
      <c r="D39" s="14" t="s">
        <v>8</v>
      </c>
      <c r="E39">
        <v>4</v>
      </c>
      <c r="F39" s="6">
        <v>352.56</v>
      </c>
      <c r="G39" s="6">
        <v>51.51</v>
      </c>
      <c r="H39" s="14" t="s">
        <v>12</v>
      </c>
      <c r="I39" s="14" t="s">
        <v>124</v>
      </c>
      <c r="J39" s="6">
        <v>10.74</v>
      </c>
      <c r="K39" s="6">
        <v>290.31</v>
      </c>
      <c r="L39" s="14" t="s">
        <v>131</v>
      </c>
    </row>
    <row r="40" spans="1:12" x14ac:dyDescent="0.3">
      <c r="A40" s="14" t="s">
        <v>175</v>
      </c>
      <c r="B40" s="14" t="s">
        <v>60</v>
      </c>
      <c r="C40" s="1">
        <v>46121</v>
      </c>
      <c r="D40" s="14" t="s">
        <v>44</v>
      </c>
      <c r="E40">
        <v>2</v>
      </c>
      <c r="F40" s="6">
        <v>69.88</v>
      </c>
      <c r="G40" s="6">
        <v>3.04</v>
      </c>
      <c r="H40" s="14" t="s">
        <v>23</v>
      </c>
      <c r="I40" s="14" t="s">
        <v>125</v>
      </c>
      <c r="J40" s="6">
        <v>9.7899999999999991</v>
      </c>
      <c r="K40" s="6">
        <v>57.04999999999999</v>
      </c>
      <c r="L40" s="14" t="s">
        <v>131</v>
      </c>
    </row>
    <row r="41" spans="1:12" x14ac:dyDescent="0.3">
      <c r="A41" s="14" t="s">
        <v>175</v>
      </c>
      <c r="B41" s="14" t="s">
        <v>61</v>
      </c>
      <c r="C41" s="1">
        <v>46122</v>
      </c>
      <c r="D41" s="14" t="s">
        <v>27</v>
      </c>
      <c r="E41">
        <v>5</v>
      </c>
      <c r="F41" s="6">
        <v>107</v>
      </c>
      <c r="G41" s="6">
        <v>6.71</v>
      </c>
      <c r="H41" s="14" t="s">
        <v>23</v>
      </c>
      <c r="I41" s="14" t="s">
        <v>125</v>
      </c>
      <c r="J41" s="6">
        <v>6.84</v>
      </c>
      <c r="K41" s="6">
        <v>93.45</v>
      </c>
      <c r="L41" s="14" t="s">
        <v>131</v>
      </c>
    </row>
    <row r="42" spans="1:12" x14ac:dyDescent="0.3">
      <c r="A42" s="14" t="s">
        <v>175</v>
      </c>
      <c r="B42" s="14" t="s">
        <v>62</v>
      </c>
      <c r="C42" s="1">
        <v>46122</v>
      </c>
      <c r="D42" s="14" t="s">
        <v>27</v>
      </c>
      <c r="E42">
        <v>4</v>
      </c>
      <c r="F42" s="6">
        <v>271.2</v>
      </c>
      <c r="G42" s="6">
        <v>46.25</v>
      </c>
      <c r="H42" s="14" t="s">
        <v>34</v>
      </c>
      <c r="I42" s="14" t="s">
        <v>124</v>
      </c>
      <c r="J42" s="6">
        <v>7.52</v>
      </c>
      <c r="K42" s="6">
        <v>217.42999999999998</v>
      </c>
      <c r="L42" s="14" t="s">
        <v>131</v>
      </c>
    </row>
    <row r="43" spans="1:12" x14ac:dyDescent="0.3">
      <c r="A43" s="14" t="s">
        <v>175</v>
      </c>
      <c r="B43" s="14" t="s">
        <v>63</v>
      </c>
      <c r="C43" s="1">
        <v>46123</v>
      </c>
      <c r="D43" s="14" t="s">
        <v>15</v>
      </c>
      <c r="E43">
        <v>5</v>
      </c>
      <c r="F43" s="6">
        <v>117.05</v>
      </c>
      <c r="G43" s="6">
        <v>4.3499999999999996</v>
      </c>
      <c r="H43" s="14" t="s">
        <v>16</v>
      </c>
      <c r="I43" s="14" t="s">
        <v>125</v>
      </c>
      <c r="J43" s="6">
        <v>6.14</v>
      </c>
      <c r="K43" s="6">
        <v>106.56</v>
      </c>
      <c r="L43" s="14" t="s">
        <v>131</v>
      </c>
    </row>
    <row r="44" spans="1:12" x14ac:dyDescent="0.3">
      <c r="A44" s="14" t="s">
        <v>175</v>
      </c>
      <c r="B44" s="14" t="s">
        <v>64</v>
      </c>
      <c r="C44" s="1">
        <v>46123</v>
      </c>
      <c r="D44" s="14" t="s">
        <v>15</v>
      </c>
      <c r="E44">
        <v>2</v>
      </c>
      <c r="F44" s="6">
        <v>114.8</v>
      </c>
      <c r="G44" s="6">
        <v>21.62</v>
      </c>
      <c r="H44" s="14" t="s">
        <v>16</v>
      </c>
      <c r="I44" s="14" t="s">
        <v>124</v>
      </c>
      <c r="J44" s="6">
        <v>9.01</v>
      </c>
      <c r="K44" s="6">
        <v>84.169999999999987</v>
      </c>
      <c r="L44" s="14" t="s">
        <v>131</v>
      </c>
    </row>
    <row r="45" spans="1:12" x14ac:dyDescent="0.3">
      <c r="A45" s="14" t="s">
        <v>175</v>
      </c>
      <c r="B45" s="14" t="s">
        <v>65</v>
      </c>
      <c r="C45" s="1">
        <v>46124</v>
      </c>
      <c r="D45" s="14" t="s">
        <v>11</v>
      </c>
      <c r="E45">
        <v>5</v>
      </c>
      <c r="F45" s="6">
        <v>387.1</v>
      </c>
      <c r="G45" s="6">
        <v>47.95</v>
      </c>
      <c r="H45" s="14" t="s">
        <v>25</v>
      </c>
      <c r="I45" s="14" t="s">
        <v>124</v>
      </c>
      <c r="J45" s="6">
        <v>10.77</v>
      </c>
      <c r="K45" s="6">
        <v>328.38000000000005</v>
      </c>
      <c r="L45" s="14" t="s">
        <v>131</v>
      </c>
    </row>
    <row r="46" spans="1:12" x14ac:dyDescent="0.3">
      <c r="A46" s="14" t="s">
        <v>175</v>
      </c>
      <c r="B46" s="14" t="s">
        <v>66</v>
      </c>
      <c r="C46" s="1">
        <v>46124</v>
      </c>
      <c r="D46" s="14" t="s">
        <v>27</v>
      </c>
      <c r="E46">
        <v>5</v>
      </c>
      <c r="F46" s="6">
        <v>349.45</v>
      </c>
      <c r="G46" s="6">
        <v>65.33</v>
      </c>
      <c r="H46" s="14" t="s">
        <v>9</v>
      </c>
      <c r="I46" s="14" t="s">
        <v>124</v>
      </c>
      <c r="J46" s="6">
        <v>6.52</v>
      </c>
      <c r="K46" s="6">
        <v>277.60000000000002</v>
      </c>
      <c r="L46" s="14" t="s">
        <v>131</v>
      </c>
    </row>
    <row r="47" spans="1:12" x14ac:dyDescent="0.3">
      <c r="A47" s="14" t="s">
        <v>175</v>
      </c>
      <c r="B47" s="14" t="s">
        <v>67</v>
      </c>
      <c r="C47" s="1">
        <v>46124</v>
      </c>
      <c r="D47" s="14" t="s">
        <v>8</v>
      </c>
      <c r="E47">
        <v>2</v>
      </c>
      <c r="F47" s="6">
        <v>85.78</v>
      </c>
      <c r="G47" s="6">
        <v>2.25</v>
      </c>
      <c r="H47" s="14" t="s">
        <v>31</v>
      </c>
      <c r="I47" s="14" t="s">
        <v>125</v>
      </c>
      <c r="J47" s="6">
        <v>5.85</v>
      </c>
      <c r="K47" s="6">
        <v>77.680000000000007</v>
      </c>
      <c r="L47" s="14" t="s">
        <v>131</v>
      </c>
    </row>
    <row r="48" spans="1:12" x14ac:dyDescent="0.3">
      <c r="A48" s="14" t="s">
        <v>175</v>
      </c>
      <c r="B48" s="14" t="s">
        <v>68</v>
      </c>
      <c r="C48" s="1">
        <v>46124</v>
      </c>
      <c r="D48" s="14" t="s">
        <v>44</v>
      </c>
      <c r="E48">
        <v>3</v>
      </c>
      <c r="F48" s="6">
        <v>337.65</v>
      </c>
      <c r="G48" s="6">
        <v>63.19</v>
      </c>
      <c r="H48" s="14" t="s">
        <v>23</v>
      </c>
      <c r="I48" s="14" t="s">
        <v>124</v>
      </c>
      <c r="J48" s="6">
        <v>6.18</v>
      </c>
      <c r="K48" s="6">
        <v>268.27999999999997</v>
      </c>
      <c r="L48" s="14" t="s">
        <v>131</v>
      </c>
    </row>
    <row r="49" spans="1:12" x14ac:dyDescent="0.3">
      <c r="A49" s="14" t="s">
        <v>175</v>
      </c>
      <c r="B49" s="14" t="s">
        <v>69</v>
      </c>
      <c r="C49" s="1">
        <v>46124</v>
      </c>
      <c r="D49" s="14" t="s">
        <v>44</v>
      </c>
      <c r="E49">
        <v>5</v>
      </c>
      <c r="F49" s="6">
        <v>599.20000000000005</v>
      </c>
      <c r="G49" s="6">
        <v>119.37</v>
      </c>
      <c r="H49" s="14" t="s">
        <v>38</v>
      </c>
      <c r="I49" s="14" t="s">
        <v>125</v>
      </c>
      <c r="J49" s="6">
        <v>11.06</v>
      </c>
      <c r="K49" s="6">
        <v>468.77000000000004</v>
      </c>
      <c r="L49" s="14" t="s">
        <v>131</v>
      </c>
    </row>
    <row r="50" spans="1:12" x14ac:dyDescent="0.3">
      <c r="A50" s="14" t="s">
        <v>175</v>
      </c>
      <c r="B50" s="14" t="s">
        <v>70</v>
      </c>
      <c r="C50" s="1">
        <v>46124</v>
      </c>
      <c r="D50" s="14" t="s">
        <v>27</v>
      </c>
      <c r="E50">
        <v>2</v>
      </c>
      <c r="F50" s="6">
        <v>136.24</v>
      </c>
      <c r="G50" s="6">
        <v>3.61</v>
      </c>
      <c r="H50" s="14" t="s">
        <v>21</v>
      </c>
      <c r="I50" s="14" t="s">
        <v>124</v>
      </c>
      <c r="J50" s="6">
        <v>12.76</v>
      </c>
      <c r="K50" s="6">
        <v>119.86999999999999</v>
      </c>
      <c r="L50" s="14" t="s">
        <v>131</v>
      </c>
    </row>
    <row r="51" spans="1:12" x14ac:dyDescent="0.3">
      <c r="A51" s="14" t="s">
        <v>175</v>
      </c>
      <c r="B51" s="14" t="s">
        <v>71</v>
      </c>
      <c r="C51" s="1">
        <v>46125</v>
      </c>
      <c r="D51" s="14" t="s">
        <v>15</v>
      </c>
      <c r="E51">
        <v>2</v>
      </c>
      <c r="F51" s="6">
        <v>107.6</v>
      </c>
      <c r="G51" s="6">
        <v>3.39</v>
      </c>
      <c r="H51" s="14" t="s">
        <v>12</v>
      </c>
      <c r="I51" s="14" t="s">
        <v>125</v>
      </c>
      <c r="J51" s="6">
        <v>9.51</v>
      </c>
      <c r="K51" s="6">
        <v>94.699999999999989</v>
      </c>
      <c r="L51" s="14" t="s">
        <v>131</v>
      </c>
    </row>
    <row r="52" spans="1:12" x14ac:dyDescent="0.3">
      <c r="A52" s="14" t="s">
        <v>175</v>
      </c>
      <c r="B52" s="14" t="s">
        <v>72</v>
      </c>
      <c r="C52" s="1">
        <v>46125</v>
      </c>
      <c r="D52" s="14" t="s">
        <v>8</v>
      </c>
      <c r="E52">
        <v>5</v>
      </c>
      <c r="F52" s="6">
        <v>591.5</v>
      </c>
      <c r="G52" s="6">
        <v>95.48</v>
      </c>
      <c r="H52" s="14" t="s">
        <v>12</v>
      </c>
      <c r="I52" s="14" t="s">
        <v>125</v>
      </c>
      <c r="J52" s="6">
        <v>7.97</v>
      </c>
      <c r="K52" s="6">
        <v>488.04999999999995</v>
      </c>
      <c r="L52" s="14" t="s">
        <v>131</v>
      </c>
    </row>
    <row r="53" spans="1:12" x14ac:dyDescent="0.3">
      <c r="A53" s="14" t="s">
        <v>175</v>
      </c>
      <c r="B53" s="14" t="s">
        <v>73</v>
      </c>
      <c r="C53" s="1">
        <v>46125</v>
      </c>
      <c r="D53" s="14" t="s">
        <v>15</v>
      </c>
      <c r="E53">
        <v>5</v>
      </c>
      <c r="F53" s="6">
        <v>232.15</v>
      </c>
      <c r="G53" s="6">
        <v>30.8</v>
      </c>
      <c r="H53" s="14" t="s">
        <v>34</v>
      </c>
      <c r="I53" s="14" t="s">
        <v>125</v>
      </c>
      <c r="J53" s="6">
        <v>8.0500000000000007</v>
      </c>
      <c r="K53" s="6">
        <v>193.29999999999998</v>
      </c>
      <c r="L53" s="14" t="s">
        <v>131</v>
      </c>
    </row>
    <row r="54" spans="1:12" x14ac:dyDescent="0.3">
      <c r="A54" s="14" t="s">
        <v>175</v>
      </c>
      <c r="B54" s="14" t="s">
        <v>74</v>
      </c>
      <c r="C54" s="1">
        <v>46126</v>
      </c>
      <c r="D54" s="14" t="s">
        <v>8</v>
      </c>
      <c r="E54">
        <v>1</v>
      </c>
      <c r="F54" s="6">
        <v>108.42</v>
      </c>
      <c r="G54" s="6">
        <v>16.100000000000001</v>
      </c>
      <c r="H54" s="14" t="s">
        <v>34</v>
      </c>
      <c r="I54" s="14" t="s">
        <v>124</v>
      </c>
      <c r="J54" s="6">
        <v>11.1</v>
      </c>
      <c r="K54" s="6">
        <v>81.22</v>
      </c>
      <c r="L54" s="14" t="s">
        <v>131</v>
      </c>
    </row>
    <row r="55" spans="1:12" x14ac:dyDescent="0.3">
      <c r="A55" s="14" t="s">
        <v>175</v>
      </c>
      <c r="B55" s="14" t="s">
        <v>75</v>
      </c>
      <c r="C55" s="1">
        <v>46126</v>
      </c>
      <c r="D55" s="14" t="s">
        <v>8</v>
      </c>
      <c r="E55">
        <v>3</v>
      </c>
      <c r="F55" s="6">
        <v>235.53</v>
      </c>
      <c r="G55" s="6">
        <v>33.799999999999997</v>
      </c>
      <c r="H55" s="14" t="s">
        <v>9</v>
      </c>
      <c r="I55" s="14" t="s">
        <v>124</v>
      </c>
      <c r="J55" s="6">
        <v>14.48</v>
      </c>
      <c r="K55" s="6">
        <v>187.25000000000003</v>
      </c>
      <c r="L55" s="14" t="s">
        <v>131</v>
      </c>
    </row>
    <row r="56" spans="1:12" x14ac:dyDescent="0.3">
      <c r="A56" s="14" t="s">
        <v>175</v>
      </c>
      <c r="B56" s="14" t="s">
        <v>76</v>
      </c>
      <c r="C56" s="1">
        <v>46126</v>
      </c>
      <c r="D56" s="14" t="s">
        <v>8</v>
      </c>
      <c r="E56">
        <v>5</v>
      </c>
      <c r="F56" s="6">
        <v>331.5</v>
      </c>
      <c r="G56" s="6">
        <v>60.02</v>
      </c>
      <c r="H56" s="14" t="s">
        <v>23</v>
      </c>
      <c r="I56" s="14" t="s">
        <v>124</v>
      </c>
      <c r="J56" s="6">
        <v>11.26</v>
      </c>
      <c r="K56" s="6">
        <v>260.22000000000003</v>
      </c>
      <c r="L56" s="14" t="s">
        <v>131</v>
      </c>
    </row>
    <row r="57" spans="1:12" x14ac:dyDescent="0.3">
      <c r="A57" s="14" t="s">
        <v>175</v>
      </c>
      <c r="B57" s="14" t="s">
        <v>77</v>
      </c>
      <c r="C57" s="1">
        <v>46127</v>
      </c>
      <c r="D57" s="14" t="s">
        <v>15</v>
      </c>
      <c r="E57">
        <v>4</v>
      </c>
      <c r="F57" s="6">
        <v>408.32</v>
      </c>
      <c r="G57" s="6">
        <v>3.6</v>
      </c>
      <c r="H57" s="14" t="s">
        <v>21</v>
      </c>
      <c r="I57" s="14" t="s">
        <v>125</v>
      </c>
      <c r="J57" s="6">
        <v>11.6</v>
      </c>
      <c r="K57" s="6">
        <v>393.11999999999995</v>
      </c>
      <c r="L57" s="14" t="s">
        <v>131</v>
      </c>
    </row>
    <row r="58" spans="1:12" x14ac:dyDescent="0.3">
      <c r="A58" s="14" t="s">
        <v>175</v>
      </c>
      <c r="B58" s="14" t="s">
        <v>78</v>
      </c>
      <c r="C58" s="1">
        <v>46127</v>
      </c>
      <c r="D58" s="14" t="s">
        <v>11</v>
      </c>
      <c r="E58">
        <v>3</v>
      </c>
      <c r="F58" s="6">
        <v>95.91</v>
      </c>
      <c r="G58" s="6">
        <v>8.48</v>
      </c>
      <c r="H58" s="14" t="s">
        <v>25</v>
      </c>
      <c r="I58" s="14" t="s">
        <v>124</v>
      </c>
      <c r="J58" s="6">
        <v>7.4</v>
      </c>
      <c r="K58" s="6">
        <v>80.029999999999987</v>
      </c>
      <c r="L58" s="14" t="s">
        <v>131</v>
      </c>
    </row>
    <row r="59" spans="1:12" x14ac:dyDescent="0.3">
      <c r="A59" s="14" t="s">
        <v>175</v>
      </c>
      <c r="B59" s="14" t="s">
        <v>79</v>
      </c>
      <c r="C59" s="1">
        <v>46127</v>
      </c>
      <c r="D59" s="14" t="s">
        <v>27</v>
      </c>
      <c r="E59">
        <v>1</v>
      </c>
      <c r="F59" s="6">
        <v>26.75</v>
      </c>
      <c r="G59" s="6">
        <v>5.0599999999999996</v>
      </c>
      <c r="H59" s="14" t="s">
        <v>34</v>
      </c>
      <c r="I59" s="14" t="s">
        <v>124</v>
      </c>
      <c r="J59" s="6">
        <v>6.57</v>
      </c>
      <c r="K59" s="6">
        <v>15.120000000000001</v>
      </c>
      <c r="L59" s="14" t="s">
        <v>131</v>
      </c>
    </row>
    <row r="60" spans="1:12" x14ac:dyDescent="0.3">
      <c r="A60" s="14" t="s">
        <v>175</v>
      </c>
      <c r="B60" s="14" t="s">
        <v>80</v>
      </c>
      <c r="C60" s="1">
        <v>46129</v>
      </c>
      <c r="D60" s="14" t="s">
        <v>27</v>
      </c>
      <c r="E60">
        <v>1</v>
      </c>
      <c r="F60" s="6">
        <v>102.63</v>
      </c>
      <c r="G60" s="6">
        <v>11.96</v>
      </c>
      <c r="H60" s="14" t="s">
        <v>34</v>
      </c>
      <c r="I60" s="14" t="s">
        <v>125</v>
      </c>
      <c r="J60" s="6">
        <v>9.51</v>
      </c>
      <c r="K60" s="6">
        <v>81.159999999999982</v>
      </c>
      <c r="L60" s="14" t="s">
        <v>131</v>
      </c>
    </row>
    <row r="61" spans="1:12" x14ac:dyDescent="0.3">
      <c r="A61" s="14" t="s">
        <v>175</v>
      </c>
      <c r="B61" s="14" t="s">
        <v>81</v>
      </c>
      <c r="C61" s="1">
        <v>46130</v>
      </c>
      <c r="D61" s="14" t="s">
        <v>44</v>
      </c>
      <c r="E61">
        <v>2</v>
      </c>
      <c r="F61" s="6">
        <v>38.78</v>
      </c>
      <c r="G61" s="6">
        <v>2.83</v>
      </c>
      <c r="H61" s="14" t="s">
        <v>23</v>
      </c>
      <c r="I61" s="14" t="s">
        <v>125</v>
      </c>
      <c r="J61" s="6">
        <v>7.91</v>
      </c>
      <c r="K61" s="6">
        <v>28.040000000000003</v>
      </c>
      <c r="L61" s="14" t="s">
        <v>131</v>
      </c>
    </row>
    <row r="62" spans="1:12" x14ac:dyDescent="0.3">
      <c r="A62" s="14" t="s">
        <v>175</v>
      </c>
      <c r="B62" s="14" t="s">
        <v>82</v>
      </c>
      <c r="C62" s="1">
        <v>46130</v>
      </c>
      <c r="D62" s="14" t="s">
        <v>8</v>
      </c>
      <c r="E62">
        <v>2</v>
      </c>
      <c r="F62" s="6">
        <v>173.24</v>
      </c>
      <c r="G62" s="6">
        <v>23.11</v>
      </c>
      <c r="H62" s="14" t="s">
        <v>21</v>
      </c>
      <c r="I62" s="14" t="s">
        <v>124</v>
      </c>
      <c r="J62" s="6">
        <v>7.88</v>
      </c>
      <c r="K62" s="6">
        <v>142.25</v>
      </c>
      <c r="L62" s="14" t="s">
        <v>131</v>
      </c>
    </row>
    <row r="63" spans="1:12" x14ac:dyDescent="0.3">
      <c r="A63" s="14" t="s">
        <v>175</v>
      </c>
      <c r="B63" s="14" t="s">
        <v>83</v>
      </c>
      <c r="C63" s="1">
        <v>46130</v>
      </c>
      <c r="D63" s="14" t="s">
        <v>27</v>
      </c>
      <c r="E63">
        <v>4</v>
      </c>
      <c r="F63" s="6">
        <v>469</v>
      </c>
      <c r="G63" s="6">
        <v>70.3</v>
      </c>
      <c r="H63" s="14" t="s">
        <v>9</v>
      </c>
      <c r="I63" s="14" t="s">
        <v>125</v>
      </c>
      <c r="J63" s="6">
        <v>12.03</v>
      </c>
      <c r="K63" s="6">
        <v>386.67</v>
      </c>
      <c r="L63" s="14" t="s">
        <v>131</v>
      </c>
    </row>
    <row r="64" spans="1:12" x14ac:dyDescent="0.3">
      <c r="A64" s="14" t="s">
        <v>175</v>
      </c>
      <c r="B64" s="14" t="s">
        <v>84</v>
      </c>
      <c r="C64" s="1">
        <v>46130</v>
      </c>
      <c r="D64" s="14" t="s">
        <v>11</v>
      </c>
      <c r="E64">
        <v>2</v>
      </c>
      <c r="F64" s="6">
        <v>215.1</v>
      </c>
      <c r="G64" s="6">
        <v>1.07</v>
      </c>
      <c r="H64" s="14" t="s">
        <v>21</v>
      </c>
      <c r="I64" s="14" t="s">
        <v>125</v>
      </c>
      <c r="J64" s="6">
        <v>5.71</v>
      </c>
      <c r="K64" s="6">
        <v>208.32</v>
      </c>
      <c r="L64" s="14" t="s">
        <v>131</v>
      </c>
    </row>
    <row r="65" spans="1:12" x14ac:dyDescent="0.3">
      <c r="A65" s="14" t="s">
        <v>175</v>
      </c>
      <c r="B65" s="14" t="s">
        <v>85</v>
      </c>
      <c r="C65" s="1">
        <v>46130</v>
      </c>
      <c r="D65" s="14" t="s">
        <v>44</v>
      </c>
      <c r="E65">
        <v>2</v>
      </c>
      <c r="F65" s="6">
        <v>86.02</v>
      </c>
      <c r="G65" s="6">
        <v>13.55</v>
      </c>
      <c r="H65" s="14" t="s">
        <v>38</v>
      </c>
      <c r="I65" s="14" t="s">
        <v>124</v>
      </c>
      <c r="J65" s="6">
        <v>14.24</v>
      </c>
      <c r="K65" s="6">
        <v>58.23</v>
      </c>
      <c r="L65" s="14" t="s">
        <v>131</v>
      </c>
    </row>
    <row r="66" spans="1:12" x14ac:dyDescent="0.3">
      <c r="A66" s="14" t="s">
        <v>175</v>
      </c>
      <c r="B66" s="14" t="s">
        <v>86</v>
      </c>
      <c r="C66" s="1">
        <v>46131</v>
      </c>
      <c r="D66" s="14" t="s">
        <v>44</v>
      </c>
      <c r="E66">
        <v>1</v>
      </c>
      <c r="F66" s="6">
        <v>105.15</v>
      </c>
      <c r="G66" s="6">
        <v>4.68</v>
      </c>
      <c r="H66" s="14" t="s">
        <v>18</v>
      </c>
      <c r="I66" s="14" t="s">
        <v>124</v>
      </c>
      <c r="J66" s="6">
        <v>9.25</v>
      </c>
      <c r="K66" s="6">
        <v>91.22</v>
      </c>
      <c r="L66" s="14" t="s">
        <v>131</v>
      </c>
    </row>
    <row r="67" spans="1:12" x14ac:dyDescent="0.3">
      <c r="A67" s="14" t="s">
        <v>175</v>
      </c>
      <c r="B67" s="14" t="s">
        <v>87</v>
      </c>
      <c r="C67" s="1">
        <v>46131</v>
      </c>
      <c r="D67" s="14" t="s">
        <v>8</v>
      </c>
      <c r="E67">
        <v>3</v>
      </c>
      <c r="F67" s="6">
        <v>303.48</v>
      </c>
      <c r="G67" s="6">
        <v>52.89</v>
      </c>
      <c r="H67" s="14" t="s">
        <v>9</v>
      </c>
      <c r="I67" s="14" t="s">
        <v>124</v>
      </c>
      <c r="J67" s="6">
        <v>11.48</v>
      </c>
      <c r="K67" s="6">
        <v>239.11000000000004</v>
      </c>
      <c r="L67" s="14" t="s">
        <v>131</v>
      </c>
    </row>
    <row r="68" spans="1:12" x14ac:dyDescent="0.3">
      <c r="A68" s="14" t="s">
        <v>175</v>
      </c>
      <c r="B68" s="14" t="s">
        <v>88</v>
      </c>
      <c r="C68" s="1">
        <v>46131</v>
      </c>
      <c r="D68" s="14" t="s">
        <v>15</v>
      </c>
      <c r="E68">
        <v>2</v>
      </c>
      <c r="F68" s="6">
        <v>113.68</v>
      </c>
      <c r="G68" s="6">
        <v>6.33</v>
      </c>
      <c r="H68" s="14" t="s">
        <v>38</v>
      </c>
      <c r="I68" s="14" t="s">
        <v>125</v>
      </c>
      <c r="J68" s="6">
        <v>13.27</v>
      </c>
      <c r="K68" s="6">
        <v>94.080000000000013</v>
      </c>
      <c r="L68" s="14" t="s">
        <v>131</v>
      </c>
    </row>
    <row r="69" spans="1:12" x14ac:dyDescent="0.3">
      <c r="A69" s="14" t="s">
        <v>175</v>
      </c>
      <c r="B69" s="14" t="s">
        <v>89</v>
      </c>
      <c r="C69" s="1">
        <v>46132</v>
      </c>
      <c r="D69" s="14" t="s">
        <v>8</v>
      </c>
      <c r="E69">
        <v>3</v>
      </c>
      <c r="F69" s="6">
        <v>247.08</v>
      </c>
      <c r="G69" s="6">
        <v>19.75</v>
      </c>
      <c r="H69" s="14" t="s">
        <v>12</v>
      </c>
      <c r="I69" s="14" t="s">
        <v>124</v>
      </c>
      <c r="J69" s="6">
        <v>5.6</v>
      </c>
      <c r="K69" s="6">
        <v>221.73000000000002</v>
      </c>
      <c r="L69" s="14" t="s">
        <v>131</v>
      </c>
    </row>
    <row r="70" spans="1:12" x14ac:dyDescent="0.3">
      <c r="A70" s="14" t="s">
        <v>175</v>
      </c>
      <c r="B70" s="14" t="s">
        <v>90</v>
      </c>
      <c r="C70" s="1">
        <v>46132</v>
      </c>
      <c r="D70" s="14" t="s">
        <v>8</v>
      </c>
      <c r="E70">
        <v>1</v>
      </c>
      <c r="F70" s="6">
        <v>27.11</v>
      </c>
      <c r="G70" s="6">
        <v>5.26</v>
      </c>
      <c r="H70" s="14" t="s">
        <v>34</v>
      </c>
      <c r="I70" s="14" t="s">
        <v>125</v>
      </c>
      <c r="J70" s="6">
        <v>10.95</v>
      </c>
      <c r="K70" s="6">
        <v>10.900000000000002</v>
      </c>
      <c r="L70" s="14" t="s">
        <v>131</v>
      </c>
    </row>
    <row r="71" spans="1:12" x14ac:dyDescent="0.3">
      <c r="A71" s="14" t="s">
        <v>175</v>
      </c>
      <c r="B71" s="14" t="s">
        <v>91</v>
      </c>
      <c r="C71" s="1">
        <v>46132</v>
      </c>
      <c r="D71" s="14" t="s">
        <v>27</v>
      </c>
      <c r="E71">
        <v>3</v>
      </c>
      <c r="F71" s="6">
        <v>57.06</v>
      </c>
      <c r="G71" s="6">
        <v>6.81</v>
      </c>
      <c r="H71" s="14" t="s">
        <v>21</v>
      </c>
      <c r="I71" s="14" t="s">
        <v>125</v>
      </c>
      <c r="J71" s="6">
        <v>9.39</v>
      </c>
      <c r="K71" s="6">
        <v>40.86</v>
      </c>
      <c r="L71" s="14" t="s">
        <v>131</v>
      </c>
    </row>
    <row r="72" spans="1:12" x14ac:dyDescent="0.3">
      <c r="A72" s="14" t="s">
        <v>175</v>
      </c>
      <c r="B72" s="14" t="s">
        <v>92</v>
      </c>
      <c r="C72" s="1">
        <v>46133</v>
      </c>
      <c r="D72" s="14" t="s">
        <v>8</v>
      </c>
      <c r="E72">
        <v>4</v>
      </c>
      <c r="F72" s="6">
        <v>314.60000000000002</v>
      </c>
      <c r="G72" s="6">
        <v>32.18</v>
      </c>
      <c r="H72" s="14" t="s">
        <v>25</v>
      </c>
      <c r="I72" s="14" t="s">
        <v>125</v>
      </c>
      <c r="J72" s="6">
        <v>11.89</v>
      </c>
      <c r="K72" s="6">
        <v>270.53000000000003</v>
      </c>
      <c r="L72" s="14" t="s">
        <v>131</v>
      </c>
    </row>
    <row r="73" spans="1:12" x14ac:dyDescent="0.3">
      <c r="A73" s="14" t="s">
        <v>175</v>
      </c>
      <c r="B73" s="14" t="s">
        <v>93</v>
      </c>
      <c r="C73" s="1">
        <v>46133</v>
      </c>
      <c r="D73" s="14" t="s">
        <v>27</v>
      </c>
      <c r="E73">
        <v>2</v>
      </c>
      <c r="F73" s="6">
        <v>83.5</v>
      </c>
      <c r="G73" s="6">
        <v>11.84</v>
      </c>
      <c r="H73" s="14" t="s">
        <v>23</v>
      </c>
      <c r="I73" s="14" t="s">
        <v>125</v>
      </c>
      <c r="J73" s="6">
        <v>14.43</v>
      </c>
      <c r="K73" s="6">
        <v>57.23</v>
      </c>
      <c r="L73" s="14" t="s">
        <v>131</v>
      </c>
    </row>
    <row r="74" spans="1:12" x14ac:dyDescent="0.3">
      <c r="A74" s="14" t="s">
        <v>175</v>
      </c>
      <c r="B74" s="14" t="s">
        <v>94</v>
      </c>
      <c r="C74" s="1">
        <v>46133</v>
      </c>
      <c r="D74" s="14" t="s">
        <v>27</v>
      </c>
      <c r="E74">
        <v>5</v>
      </c>
      <c r="F74" s="6">
        <v>435.6</v>
      </c>
      <c r="G74" s="6">
        <v>81.92</v>
      </c>
      <c r="H74" s="14" t="s">
        <v>9</v>
      </c>
      <c r="I74" s="14" t="s">
        <v>125</v>
      </c>
      <c r="J74" s="6">
        <v>9.3800000000000008</v>
      </c>
      <c r="K74" s="6">
        <v>344.3</v>
      </c>
      <c r="L74" s="14" t="s">
        <v>131</v>
      </c>
    </row>
    <row r="75" spans="1:12" x14ac:dyDescent="0.3">
      <c r="A75" s="14" t="s">
        <v>175</v>
      </c>
      <c r="B75" s="14" t="s">
        <v>95</v>
      </c>
      <c r="C75" s="1">
        <v>46133</v>
      </c>
      <c r="D75" s="14" t="s">
        <v>8</v>
      </c>
      <c r="E75">
        <v>4</v>
      </c>
      <c r="F75" s="6">
        <v>89.4</v>
      </c>
      <c r="G75" s="6">
        <v>11.88</v>
      </c>
      <c r="H75" s="14" t="s">
        <v>21</v>
      </c>
      <c r="I75" s="14" t="s">
        <v>124</v>
      </c>
      <c r="J75" s="6">
        <v>13.89</v>
      </c>
      <c r="K75" s="6">
        <v>63.63000000000001</v>
      </c>
      <c r="L75" s="14" t="s">
        <v>131</v>
      </c>
    </row>
    <row r="76" spans="1:12" x14ac:dyDescent="0.3">
      <c r="A76" s="14" t="s">
        <v>175</v>
      </c>
      <c r="B76" s="14" t="s">
        <v>96</v>
      </c>
      <c r="C76" s="1">
        <v>46134</v>
      </c>
      <c r="D76" s="14" t="s">
        <v>27</v>
      </c>
      <c r="E76">
        <v>3</v>
      </c>
      <c r="F76" s="6">
        <v>253.98</v>
      </c>
      <c r="G76" s="6">
        <v>6.33</v>
      </c>
      <c r="H76" s="14" t="s">
        <v>31</v>
      </c>
      <c r="I76" s="14" t="s">
        <v>125</v>
      </c>
      <c r="J76" s="6">
        <v>11.04</v>
      </c>
      <c r="K76" s="6">
        <v>236.60999999999999</v>
      </c>
      <c r="L76" s="14" t="s">
        <v>131</v>
      </c>
    </row>
    <row r="77" spans="1:12" x14ac:dyDescent="0.3">
      <c r="A77" s="14" t="s">
        <v>175</v>
      </c>
      <c r="B77" s="14" t="s">
        <v>97</v>
      </c>
      <c r="C77" s="1">
        <v>46134</v>
      </c>
      <c r="D77" s="14" t="s">
        <v>27</v>
      </c>
      <c r="E77">
        <v>3</v>
      </c>
      <c r="F77" s="6">
        <v>255.06</v>
      </c>
      <c r="G77" s="6">
        <v>16.64</v>
      </c>
      <c r="H77" s="14" t="s">
        <v>31</v>
      </c>
      <c r="I77" s="14" t="s">
        <v>124</v>
      </c>
      <c r="J77" s="6">
        <v>5.91</v>
      </c>
      <c r="K77" s="6">
        <v>232.51000000000002</v>
      </c>
      <c r="L77" s="14" t="s">
        <v>131</v>
      </c>
    </row>
    <row r="78" spans="1:12" x14ac:dyDescent="0.3">
      <c r="A78" s="14" t="s">
        <v>175</v>
      </c>
      <c r="B78" s="14" t="s">
        <v>98</v>
      </c>
      <c r="C78" s="1">
        <v>46135</v>
      </c>
      <c r="D78" s="14" t="s">
        <v>27</v>
      </c>
      <c r="E78">
        <v>2</v>
      </c>
      <c r="F78" s="6">
        <v>70.28</v>
      </c>
      <c r="G78" s="6">
        <v>9.35</v>
      </c>
      <c r="H78" s="14" t="s">
        <v>25</v>
      </c>
      <c r="I78" s="14" t="s">
        <v>124</v>
      </c>
      <c r="J78" s="6">
        <v>15</v>
      </c>
      <c r="K78" s="6">
        <v>45.93</v>
      </c>
      <c r="L78" s="14" t="s">
        <v>131</v>
      </c>
    </row>
    <row r="79" spans="1:12" x14ac:dyDescent="0.3">
      <c r="A79" s="14" t="s">
        <v>175</v>
      </c>
      <c r="B79" s="14" t="s">
        <v>99</v>
      </c>
      <c r="C79" s="1">
        <v>46135</v>
      </c>
      <c r="D79" s="14" t="s">
        <v>11</v>
      </c>
      <c r="E79">
        <v>5</v>
      </c>
      <c r="F79" s="6">
        <v>373.8</v>
      </c>
      <c r="G79" s="6">
        <v>30.36</v>
      </c>
      <c r="H79" s="14" t="s">
        <v>23</v>
      </c>
      <c r="I79" s="14" t="s">
        <v>125</v>
      </c>
      <c r="J79" s="6">
        <v>10.76</v>
      </c>
      <c r="K79" s="6">
        <v>332.68</v>
      </c>
      <c r="L79" s="14" t="s">
        <v>131</v>
      </c>
    </row>
    <row r="80" spans="1:12" x14ac:dyDescent="0.3">
      <c r="A80" s="14" t="s">
        <v>175</v>
      </c>
      <c r="B80" s="14" t="s">
        <v>100</v>
      </c>
      <c r="C80" s="1">
        <v>46135</v>
      </c>
      <c r="D80" s="14" t="s">
        <v>8</v>
      </c>
      <c r="E80">
        <v>3</v>
      </c>
      <c r="F80" s="6">
        <v>111.21</v>
      </c>
      <c r="G80" s="6">
        <v>17.48</v>
      </c>
      <c r="H80" s="14" t="s">
        <v>16</v>
      </c>
      <c r="I80" s="14" t="s">
        <v>124</v>
      </c>
      <c r="J80" s="6">
        <v>9.7100000000000009</v>
      </c>
      <c r="K80" s="6">
        <v>84.019999999999982</v>
      </c>
      <c r="L80" s="14" t="s">
        <v>131</v>
      </c>
    </row>
    <row r="81" spans="1:12" x14ac:dyDescent="0.3">
      <c r="A81" s="14" t="s">
        <v>175</v>
      </c>
      <c r="B81" s="14" t="s">
        <v>101</v>
      </c>
      <c r="C81" s="1">
        <v>46135</v>
      </c>
      <c r="D81" s="14" t="s">
        <v>8</v>
      </c>
      <c r="E81">
        <v>4</v>
      </c>
      <c r="F81" s="6">
        <v>245.56</v>
      </c>
      <c r="G81" s="6">
        <v>33.18</v>
      </c>
      <c r="H81" s="14" t="s">
        <v>12</v>
      </c>
      <c r="I81" s="14" t="s">
        <v>125</v>
      </c>
      <c r="J81" s="6">
        <v>14.16</v>
      </c>
      <c r="K81" s="6">
        <v>198.22</v>
      </c>
      <c r="L81" s="14" t="s">
        <v>131</v>
      </c>
    </row>
    <row r="82" spans="1:12" x14ac:dyDescent="0.3">
      <c r="A82" s="14" t="s">
        <v>175</v>
      </c>
      <c r="B82" s="14" t="s">
        <v>102</v>
      </c>
      <c r="C82" s="1">
        <v>46136</v>
      </c>
      <c r="D82" s="14" t="s">
        <v>44</v>
      </c>
      <c r="E82">
        <v>2</v>
      </c>
      <c r="F82" s="6">
        <v>168.36</v>
      </c>
      <c r="G82" s="6">
        <v>9.56</v>
      </c>
      <c r="H82" s="14" t="s">
        <v>16</v>
      </c>
      <c r="I82" s="14" t="s">
        <v>124</v>
      </c>
      <c r="J82" s="6">
        <v>14.97</v>
      </c>
      <c r="K82" s="6">
        <v>143.83000000000001</v>
      </c>
      <c r="L82" s="14" t="s">
        <v>131</v>
      </c>
    </row>
    <row r="83" spans="1:12" x14ac:dyDescent="0.3">
      <c r="A83" s="14" t="s">
        <v>175</v>
      </c>
      <c r="B83" s="14" t="s">
        <v>103</v>
      </c>
      <c r="C83" s="1">
        <v>46136</v>
      </c>
      <c r="D83" s="14" t="s">
        <v>8</v>
      </c>
      <c r="E83">
        <v>1</v>
      </c>
      <c r="F83" s="6">
        <v>100.93</v>
      </c>
      <c r="G83" s="6">
        <v>15.16</v>
      </c>
      <c r="H83" s="14" t="s">
        <v>31</v>
      </c>
      <c r="I83" s="14" t="s">
        <v>125</v>
      </c>
      <c r="J83" s="6">
        <v>11.35</v>
      </c>
      <c r="K83" s="6">
        <v>74.420000000000016</v>
      </c>
      <c r="L83" s="14" t="s">
        <v>131</v>
      </c>
    </row>
    <row r="84" spans="1:12" x14ac:dyDescent="0.3">
      <c r="A84" s="14" t="s">
        <v>175</v>
      </c>
      <c r="B84" s="14" t="s">
        <v>104</v>
      </c>
      <c r="C84" s="1">
        <v>46136</v>
      </c>
      <c r="D84" s="14" t="s">
        <v>11</v>
      </c>
      <c r="E84">
        <v>2</v>
      </c>
      <c r="F84" s="6">
        <v>60.94</v>
      </c>
      <c r="G84" s="6">
        <v>0.56000000000000005</v>
      </c>
      <c r="H84" s="14" t="s">
        <v>18</v>
      </c>
      <c r="I84" s="14" t="s">
        <v>125</v>
      </c>
      <c r="J84" s="6">
        <v>14.69</v>
      </c>
      <c r="K84" s="6">
        <v>45.69</v>
      </c>
      <c r="L84" s="14" t="s">
        <v>131</v>
      </c>
    </row>
    <row r="85" spans="1:12" x14ac:dyDescent="0.3">
      <c r="A85" s="14" t="s">
        <v>175</v>
      </c>
      <c r="B85" s="14" t="s">
        <v>105</v>
      </c>
      <c r="C85" s="1">
        <v>46136</v>
      </c>
      <c r="D85" s="14" t="s">
        <v>27</v>
      </c>
      <c r="E85">
        <v>1</v>
      </c>
      <c r="F85" s="6">
        <v>62.82</v>
      </c>
      <c r="G85" s="6">
        <v>11.13</v>
      </c>
      <c r="H85" s="14" t="s">
        <v>16</v>
      </c>
      <c r="I85" s="14" t="s">
        <v>125</v>
      </c>
      <c r="J85" s="6">
        <v>8.48</v>
      </c>
      <c r="K85" s="6">
        <v>43.209999999999994</v>
      </c>
      <c r="L85" s="14" t="s">
        <v>131</v>
      </c>
    </row>
    <row r="86" spans="1:12" x14ac:dyDescent="0.3">
      <c r="A86" s="14" t="s">
        <v>175</v>
      </c>
      <c r="B86" s="14" t="s">
        <v>106</v>
      </c>
      <c r="C86" s="1">
        <v>46137</v>
      </c>
      <c r="D86" s="14" t="s">
        <v>11</v>
      </c>
      <c r="E86">
        <v>4</v>
      </c>
      <c r="F86" s="6">
        <v>267.64</v>
      </c>
      <c r="G86" s="6">
        <v>13.06</v>
      </c>
      <c r="H86" s="14" t="s">
        <v>23</v>
      </c>
      <c r="I86" s="14" t="s">
        <v>125</v>
      </c>
      <c r="J86" s="6">
        <v>8.2100000000000009</v>
      </c>
      <c r="K86" s="6">
        <v>246.36999999999998</v>
      </c>
      <c r="L86" s="14" t="s">
        <v>131</v>
      </c>
    </row>
    <row r="87" spans="1:12" x14ac:dyDescent="0.3">
      <c r="A87" s="14" t="s">
        <v>175</v>
      </c>
      <c r="B87" s="14" t="s">
        <v>107</v>
      </c>
      <c r="C87" s="1">
        <v>46137</v>
      </c>
      <c r="D87" s="14" t="s">
        <v>15</v>
      </c>
      <c r="E87">
        <v>4</v>
      </c>
      <c r="F87" s="6">
        <v>151.91999999999999</v>
      </c>
      <c r="G87" s="6">
        <v>24.43</v>
      </c>
      <c r="H87" s="14" t="s">
        <v>12</v>
      </c>
      <c r="I87" s="14" t="s">
        <v>124</v>
      </c>
      <c r="J87" s="6">
        <v>13.58</v>
      </c>
      <c r="K87" s="6">
        <v>113.90999999999998</v>
      </c>
      <c r="L87" s="14" t="s">
        <v>131</v>
      </c>
    </row>
    <row r="88" spans="1:12" x14ac:dyDescent="0.3">
      <c r="A88" s="14" t="s">
        <v>175</v>
      </c>
      <c r="B88" s="14" t="s">
        <v>108</v>
      </c>
      <c r="C88" s="1">
        <v>46137</v>
      </c>
      <c r="D88" s="14" t="s">
        <v>44</v>
      </c>
      <c r="E88">
        <v>1</v>
      </c>
      <c r="F88" s="6">
        <v>73.53</v>
      </c>
      <c r="G88" s="6">
        <v>13.49</v>
      </c>
      <c r="H88" s="14" t="s">
        <v>38</v>
      </c>
      <c r="I88" s="14" t="s">
        <v>125</v>
      </c>
      <c r="J88" s="6">
        <v>9.1199999999999992</v>
      </c>
      <c r="K88" s="6">
        <v>50.92</v>
      </c>
      <c r="L88" s="14" t="s">
        <v>131</v>
      </c>
    </row>
    <row r="89" spans="1:12" x14ac:dyDescent="0.3">
      <c r="A89" s="14" t="s">
        <v>175</v>
      </c>
      <c r="B89" s="14" t="s">
        <v>109</v>
      </c>
      <c r="C89" s="1">
        <v>46138</v>
      </c>
      <c r="D89" s="14" t="s">
        <v>44</v>
      </c>
      <c r="E89">
        <v>2</v>
      </c>
      <c r="F89" s="6">
        <v>198.3</v>
      </c>
      <c r="G89" s="6">
        <v>26.48</v>
      </c>
      <c r="H89" s="14" t="s">
        <v>12</v>
      </c>
      <c r="I89" s="14" t="s">
        <v>125</v>
      </c>
      <c r="J89" s="6">
        <v>7.88</v>
      </c>
      <c r="K89" s="6">
        <v>163.94000000000003</v>
      </c>
      <c r="L89" s="14" t="s">
        <v>131</v>
      </c>
    </row>
    <row r="90" spans="1:12" x14ac:dyDescent="0.3">
      <c r="A90" s="14" t="s">
        <v>175</v>
      </c>
      <c r="B90" s="14" t="s">
        <v>110</v>
      </c>
      <c r="C90" s="1">
        <v>46138</v>
      </c>
      <c r="D90" s="14" t="s">
        <v>27</v>
      </c>
      <c r="E90">
        <v>3</v>
      </c>
      <c r="F90" s="6">
        <v>344.25</v>
      </c>
      <c r="G90" s="6">
        <v>61.37</v>
      </c>
      <c r="H90" s="14" t="s">
        <v>16</v>
      </c>
      <c r="I90" s="14" t="s">
        <v>125</v>
      </c>
      <c r="J90" s="6">
        <v>13.14</v>
      </c>
      <c r="K90" s="6">
        <v>269.74</v>
      </c>
      <c r="L90" s="14" t="s">
        <v>131</v>
      </c>
    </row>
    <row r="91" spans="1:12" x14ac:dyDescent="0.3">
      <c r="A91" s="14" t="s">
        <v>175</v>
      </c>
      <c r="B91" s="14" t="s">
        <v>111</v>
      </c>
      <c r="C91" s="1">
        <v>46138</v>
      </c>
      <c r="D91" s="14" t="s">
        <v>27</v>
      </c>
      <c r="E91">
        <v>4</v>
      </c>
      <c r="F91" s="6">
        <v>408.84</v>
      </c>
      <c r="G91" s="6">
        <v>44.8</v>
      </c>
      <c r="H91" s="14" t="s">
        <v>34</v>
      </c>
      <c r="I91" s="14" t="s">
        <v>124</v>
      </c>
      <c r="J91" s="6">
        <v>9.5500000000000007</v>
      </c>
      <c r="K91" s="6">
        <v>354.48999999999995</v>
      </c>
      <c r="L91" s="14" t="s">
        <v>131</v>
      </c>
    </row>
    <row r="92" spans="1:12" x14ac:dyDescent="0.3">
      <c r="A92" s="14" t="s">
        <v>175</v>
      </c>
      <c r="B92" s="14" t="s">
        <v>112</v>
      </c>
      <c r="C92" s="1">
        <v>46139</v>
      </c>
      <c r="D92" s="14" t="s">
        <v>44</v>
      </c>
      <c r="E92">
        <v>4</v>
      </c>
      <c r="F92" s="6">
        <v>168.88</v>
      </c>
      <c r="G92" s="6">
        <v>8.35</v>
      </c>
      <c r="H92" s="14" t="s">
        <v>31</v>
      </c>
      <c r="I92" s="14" t="s">
        <v>125</v>
      </c>
      <c r="J92" s="6">
        <v>7.52</v>
      </c>
      <c r="K92" s="6">
        <v>153.01</v>
      </c>
      <c r="L92" s="14" t="s">
        <v>131</v>
      </c>
    </row>
    <row r="93" spans="1:12" x14ac:dyDescent="0.3">
      <c r="A93" s="14" t="s">
        <v>175</v>
      </c>
      <c r="B93" s="14" t="s">
        <v>113</v>
      </c>
      <c r="C93" s="1">
        <v>46139</v>
      </c>
      <c r="D93" s="14" t="s">
        <v>27</v>
      </c>
      <c r="E93">
        <v>4</v>
      </c>
      <c r="F93" s="6">
        <v>323.24</v>
      </c>
      <c r="G93" s="6">
        <v>17.75</v>
      </c>
      <c r="H93" s="14" t="s">
        <v>38</v>
      </c>
      <c r="I93" s="14" t="s">
        <v>124</v>
      </c>
      <c r="J93" s="6">
        <v>14.7</v>
      </c>
      <c r="K93" s="6">
        <v>290.79000000000002</v>
      </c>
      <c r="L93" s="14" t="s">
        <v>131</v>
      </c>
    </row>
    <row r="94" spans="1:12" x14ac:dyDescent="0.3">
      <c r="A94" s="14" t="s">
        <v>175</v>
      </c>
      <c r="B94" s="14" t="s">
        <v>114</v>
      </c>
      <c r="C94" s="1">
        <v>46140</v>
      </c>
      <c r="D94" s="14" t="s">
        <v>8</v>
      </c>
      <c r="E94">
        <v>2</v>
      </c>
      <c r="F94" s="6">
        <v>87.06</v>
      </c>
      <c r="G94" s="6">
        <v>5.57</v>
      </c>
      <c r="H94" s="14" t="s">
        <v>12</v>
      </c>
      <c r="I94" s="14" t="s">
        <v>125</v>
      </c>
      <c r="J94" s="6">
        <v>13.65</v>
      </c>
      <c r="K94" s="6">
        <v>67.84</v>
      </c>
      <c r="L94" s="14" t="s">
        <v>131</v>
      </c>
    </row>
    <row r="95" spans="1:12" x14ac:dyDescent="0.3">
      <c r="A95" s="14" t="s">
        <v>175</v>
      </c>
      <c r="B95" s="14" t="s">
        <v>115</v>
      </c>
      <c r="C95" s="1">
        <v>46140</v>
      </c>
      <c r="D95" s="14" t="s">
        <v>15</v>
      </c>
      <c r="E95">
        <v>2</v>
      </c>
      <c r="F95" s="6">
        <v>61.68</v>
      </c>
      <c r="G95" s="6">
        <v>4.7300000000000004</v>
      </c>
      <c r="H95" s="14" t="s">
        <v>34</v>
      </c>
      <c r="I95" s="14" t="s">
        <v>124</v>
      </c>
      <c r="J95" s="6">
        <v>11.58</v>
      </c>
      <c r="K95" s="6">
        <v>45.370000000000005</v>
      </c>
      <c r="L95" s="14" t="s">
        <v>131</v>
      </c>
    </row>
    <row r="96" spans="1:12" x14ac:dyDescent="0.3">
      <c r="A96" s="14" t="s">
        <v>175</v>
      </c>
      <c r="B96" s="14" t="s">
        <v>116</v>
      </c>
      <c r="C96" s="1">
        <v>46140</v>
      </c>
      <c r="D96" s="14" t="s">
        <v>11</v>
      </c>
      <c r="E96">
        <v>1</v>
      </c>
      <c r="F96" s="6">
        <v>58.56</v>
      </c>
      <c r="G96" s="6">
        <v>3.88</v>
      </c>
      <c r="H96" s="14" t="s">
        <v>18</v>
      </c>
      <c r="I96" s="14" t="s">
        <v>125</v>
      </c>
      <c r="J96" s="6">
        <v>9.1300000000000008</v>
      </c>
      <c r="K96" s="6">
        <v>45.55</v>
      </c>
      <c r="L96" s="14" t="s">
        <v>131</v>
      </c>
    </row>
    <row r="97" spans="1:12" x14ac:dyDescent="0.3">
      <c r="A97" s="14" t="s">
        <v>175</v>
      </c>
      <c r="B97" s="14" t="s">
        <v>117</v>
      </c>
      <c r="C97" s="1">
        <v>46140</v>
      </c>
      <c r="D97" s="14" t="s">
        <v>44</v>
      </c>
      <c r="E97">
        <v>1</v>
      </c>
      <c r="F97" s="6">
        <v>36.72</v>
      </c>
      <c r="G97" s="6">
        <v>3.09</v>
      </c>
      <c r="H97" s="14" t="s">
        <v>16</v>
      </c>
      <c r="I97" s="14" t="s">
        <v>124</v>
      </c>
      <c r="J97" s="6">
        <v>10.18</v>
      </c>
      <c r="K97" s="6">
        <v>23.449999999999996</v>
      </c>
      <c r="L97" s="14" t="s">
        <v>131</v>
      </c>
    </row>
    <row r="98" spans="1:12" x14ac:dyDescent="0.3">
      <c r="A98" s="14" t="s">
        <v>175</v>
      </c>
      <c r="B98" s="14" t="s">
        <v>118</v>
      </c>
      <c r="C98" s="1">
        <v>46140</v>
      </c>
      <c r="D98" s="14" t="s">
        <v>15</v>
      </c>
      <c r="E98">
        <v>5</v>
      </c>
      <c r="F98" s="6">
        <v>274.7</v>
      </c>
      <c r="G98" s="6">
        <v>0.32</v>
      </c>
      <c r="H98" s="14" t="s">
        <v>21</v>
      </c>
      <c r="I98" s="14" t="s">
        <v>125</v>
      </c>
      <c r="J98" s="6">
        <v>11.25</v>
      </c>
      <c r="K98" s="6">
        <v>263.13</v>
      </c>
      <c r="L98" s="14" t="s">
        <v>131</v>
      </c>
    </row>
    <row r="99" spans="1:12" x14ac:dyDescent="0.3">
      <c r="A99" s="14" t="s">
        <v>175</v>
      </c>
      <c r="B99" s="14" t="s">
        <v>119</v>
      </c>
      <c r="C99" s="1">
        <v>46141</v>
      </c>
      <c r="D99" s="14" t="s">
        <v>8</v>
      </c>
      <c r="E99">
        <v>4</v>
      </c>
      <c r="F99" s="6">
        <v>418.44</v>
      </c>
      <c r="G99" s="6">
        <v>79.790000000000006</v>
      </c>
      <c r="H99" s="14" t="s">
        <v>25</v>
      </c>
      <c r="I99" s="14" t="s">
        <v>124</v>
      </c>
      <c r="J99" s="6">
        <v>7.04</v>
      </c>
      <c r="K99" s="6">
        <v>331.60999999999996</v>
      </c>
      <c r="L99" s="14" t="s">
        <v>131</v>
      </c>
    </row>
    <row r="100" spans="1:12" x14ac:dyDescent="0.3">
      <c r="A100" s="14" t="s">
        <v>175</v>
      </c>
      <c r="B100" s="14" t="s">
        <v>120</v>
      </c>
      <c r="C100" s="1">
        <v>46141</v>
      </c>
      <c r="D100" s="14" t="s">
        <v>27</v>
      </c>
      <c r="E100">
        <v>5</v>
      </c>
      <c r="F100" s="6">
        <v>494.95</v>
      </c>
      <c r="G100" s="6">
        <v>88.87</v>
      </c>
      <c r="H100" s="14" t="s">
        <v>18</v>
      </c>
      <c r="I100" s="14" t="s">
        <v>124</v>
      </c>
      <c r="J100" s="6">
        <v>14.28</v>
      </c>
      <c r="K100" s="6">
        <v>391.8</v>
      </c>
      <c r="L100" s="14" t="s">
        <v>131</v>
      </c>
    </row>
    <row r="101" spans="1:12" x14ac:dyDescent="0.3">
      <c r="A101" s="14" t="s">
        <v>175</v>
      </c>
      <c r="B101" s="14" t="s">
        <v>121</v>
      </c>
      <c r="C101" s="1">
        <v>46142</v>
      </c>
      <c r="D101" s="14" t="s">
        <v>11</v>
      </c>
      <c r="E101">
        <v>3</v>
      </c>
      <c r="F101" s="6">
        <v>182.28</v>
      </c>
      <c r="G101" s="6">
        <v>1.06</v>
      </c>
      <c r="H101" s="14" t="s">
        <v>21</v>
      </c>
      <c r="I101" s="14" t="s">
        <v>125</v>
      </c>
      <c r="J101" s="6">
        <v>13.81</v>
      </c>
      <c r="K101" s="6">
        <v>167.41</v>
      </c>
      <c r="L101" s="14" t="s">
        <v>131</v>
      </c>
    </row>
    <row r="102" spans="1:12" x14ac:dyDescent="0.3">
      <c r="A102" s="14" t="s">
        <v>175</v>
      </c>
      <c r="B102" s="14" t="s">
        <v>176</v>
      </c>
      <c r="C102" s="1"/>
      <c r="D102" s="14" t="s">
        <v>176</v>
      </c>
      <c r="F102" s="6"/>
      <c r="G102" s="6"/>
      <c r="H102" s="14" t="s">
        <v>176</v>
      </c>
      <c r="I102" s="14"/>
      <c r="J102" s="6"/>
      <c r="K102" s="6"/>
      <c r="L102" s="14"/>
    </row>
    <row r="103" spans="1:12" x14ac:dyDescent="0.3">
      <c r="A103" s="14" t="s">
        <v>175</v>
      </c>
      <c r="B103" s="14" t="s">
        <v>176</v>
      </c>
      <c r="C103" s="1"/>
      <c r="D103" s="14" t="s">
        <v>176</v>
      </c>
      <c r="F103" s="6"/>
      <c r="G103" s="6"/>
      <c r="H103" s="14" t="s">
        <v>176</v>
      </c>
      <c r="I103" s="14"/>
      <c r="J103" s="6"/>
      <c r="K103" s="6"/>
      <c r="L103" s="14"/>
    </row>
    <row r="104" spans="1:12" x14ac:dyDescent="0.3">
      <c r="A104" s="14" t="s">
        <v>175</v>
      </c>
      <c r="B104" s="14" t="s">
        <v>176</v>
      </c>
      <c r="C104" s="1"/>
      <c r="D104" s="14" t="s">
        <v>176</v>
      </c>
      <c r="F104" s="6"/>
      <c r="G104" s="6"/>
      <c r="H104" s="14" t="s">
        <v>176</v>
      </c>
      <c r="I104" s="14"/>
      <c r="J104" s="6"/>
      <c r="K104" s="6"/>
      <c r="L104" s="14"/>
    </row>
    <row r="105" spans="1:12" x14ac:dyDescent="0.3">
      <c r="A105" s="14" t="s">
        <v>175</v>
      </c>
      <c r="B105" s="14" t="s">
        <v>176</v>
      </c>
      <c r="C105" s="1"/>
      <c r="D105" s="14" t="s">
        <v>176</v>
      </c>
      <c r="F105" s="6"/>
      <c r="G105" s="6"/>
      <c r="H105" s="14" t="s">
        <v>176</v>
      </c>
      <c r="I105" s="14"/>
      <c r="J105" s="6"/>
      <c r="K105" s="6"/>
      <c r="L105" s="14"/>
    </row>
    <row r="106" spans="1:12" x14ac:dyDescent="0.3">
      <c r="A106" s="14" t="s">
        <v>175</v>
      </c>
      <c r="B106" s="14" t="s">
        <v>176</v>
      </c>
      <c r="C106" s="1"/>
      <c r="D106" s="14" t="s">
        <v>176</v>
      </c>
      <c r="F106" s="6"/>
      <c r="G106" s="6"/>
      <c r="H106" s="14" t="s">
        <v>176</v>
      </c>
      <c r="I106" s="14"/>
      <c r="J106" s="6"/>
      <c r="K106" s="6"/>
      <c r="L106" s="14"/>
    </row>
    <row r="107" spans="1:12" x14ac:dyDescent="0.3">
      <c r="A107" s="14" t="s">
        <v>175</v>
      </c>
      <c r="B107" s="14" t="s">
        <v>176</v>
      </c>
      <c r="C107" s="1"/>
      <c r="D107" s="14" t="s">
        <v>176</v>
      </c>
      <c r="F107" s="6"/>
      <c r="G107" s="6"/>
      <c r="H107" s="14" t="s">
        <v>176</v>
      </c>
      <c r="I107" s="14"/>
      <c r="J107" s="6"/>
      <c r="K107" s="6"/>
      <c r="L107" s="14"/>
    </row>
    <row r="108" spans="1:12" x14ac:dyDescent="0.3">
      <c r="A108" s="14" t="s">
        <v>175</v>
      </c>
      <c r="B108" s="14" t="s">
        <v>176</v>
      </c>
      <c r="C108" s="1"/>
      <c r="D108" s="14" t="s">
        <v>176</v>
      </c>
      <c r="F108" s="6"/>
      <c r="G108" s="6"/>
      <c r="H108" s="14" t="s">
        <v>176</v>
      </c>
      <c r="I108" s="14"/>
      <c r="J108" s="6"/>
      <c r="K108" s="6"/>
      <c r="L108" s="14"/>
    </row>
    <row r="109" spans="1:12" x14ac:dyDescent="0.3">
      <c r="A109" s="14" t="s">
        <v>175</v>
      </c>
      <c r="B109" s="14" t="s">
        <v>176</v>
      </c>
      <c r="C109" s="1"/>
      <c r="D109" s="14" t="s">
        <v>176</v>
      </c>
      <c r="F109" s="6"/>
      <c r="G109" s="6"/>
      <c r="H109" s="14" t="s">
        <v>176</v>
      </c>
      <c r="I109" s="14"/>
      <c r="J109" s="6"/>
      <c r="K109" s="6"/>
      <c r="L109" s="14"/>
    </row>
    <row r="110" spans="1:12" x14ac:dyDescent="0.3">
      <c r="A110" s="14" t="s">
        <v>175</v>
      </c>
      <c r="B110" s="14" t="s">
        <v>176</v>
      </c>
      <c r="C110" s="1"/>
      <c r="D110" s="14" t="s">
        <v>176</v>
      </c>
      <c r="F110" s="6"/>
      <c r="G110" s="6"/>
      <c r="H110" s="14" t="s">
        <v>176</v>
      </c>
      <c r="I110" s="14"/>
      <c r="J110" s="6"/>
      <c r="K110" s="6"/>
      <c r="L110" s="14"/>
    </row>
    <row r="111" spans="1:12" x14ac:dyDescent="0.3">
      <c r="A111" s="14" t="s">
        <v>175</v>
      </c>
      <c r="B111" s="14" t="s">
        <v>176</v>
      </c>
      <c r="C111" s="1"/>
      <c r="D111" s="14" t="s">
        <v>176</v>
      </c>
      <c r="F111" s="6"/>
      <c r="G111" s="6"/>
      <c r="H111" s="14" t="s">
        <v>176</v>
      </c>
      <c r="I111" s="14"/>
      <c r="J111" s="6"/>
      <c r="K111" s="6"/>
      <c r="L111" s="14"/>
    </row>
    <row r="112" spans="1:12" x14ac:dyDescent="0.3">
      <c r="A112" s="14" t="s">
        <v>175</v>
      </c>
      <c r="B112" s="14" t="s">
        <v>176</v>
      </c>
      <c r="C112" s="1"/>
      <c r="D112" s="14" t="s">
        <v>176</v>
      </c>
      <c r="F112" s="6"/>
      <c r="G112" s="6"/>
      <c r="H112" s="14" t="s">
        <v>176</v>
      </c>
      <c r="I112" s="14"/>
      <c r="J112" s="6"/>
      <c r="K112" s="6"/>
      <c r="L112" s="14"/>
    </row>
    <row r="113" spans="1:12" x14ac:dyDescent="0.3">
      <c r="A113" s="14" t="s">
        <v>175</v>
      </c>
      <c r="B113" s="14" t="s">
        <v>176</v>
      </c>
      <c r="C113" s="1"/>
      <c r="D113" s="14" t="s">
        <v>176</v>
      </c>
      <c r="F113" s="6"/>
      <c r="G113" s="6"/>
      <c r="H113" s="14" t="s">
        <v>176</v>
      </c>
      <c r="I113" s="14"/>
      <c r="J113" s="6"/>
      <c r="K113" s="6"/>
      <c r="L113" s="14"/>
    </row>
    <row r="114" spans="1:12" x14ac:dyDescent="0.3">
      <c r="A114" s="14" t="s">
        <v>175</v>
      </c>
      <c r="B114" s="14" t="s">
        <v>176</v>
      </c>
      <c r="C114" s="1"/>
      <c r="D114" s="14" t="s">
        <v>176</v>
      </c>
      <c r="F114" s="6"/>
      <c r="G114" s="6"/>
      <c r="H114" s="14" t="s">
        <v>176</v>
      </c>
      <c r="I114" s="14"/>
      <c r="J114" s="6"/>
      <c r="K114" s="6"/>
      <c r="L114" s="14"/>
    </row>
    <row r="115" spans="1:12" x14ac:dyDescent="0.3">
      <c r="A115" s="14" t="s">
        <v>175</v>
      </c>
      <c r="B115" s="14" t="s">
        <v>176</v>
      </c>
      <c r="C115" s="1"/>
      <c r="D115" s="14" t="s">
        <v>176</v>
      </c>
      <c r="F115" s="6"/>
      <c r="G115" s="6"/>
      <c r="H115" s="14" t="s">
        <v>176</v>
      </c>
      <c r="I115" s="14"/>
      <c r="J115" s="6"/>
      <c r="K115" s="6"/>
      <c r="L115" s="14"/>
    </row>
    <row r="116" spans="1:12" x14ac:dyDescent="0.3">
      <c r="A116" s="14" t="s">
        <v>175</v>
      </c>
      <c r="B116" s="14" t="s">
        <v>176</v>
      </c>
      <c r="C116" s="1"/>
      <c r="D116" s="14" t="s">
        <v>176</v>
      </c>
      <c r="F116" s="6"/>
      <c r="G116" s="6"/>
      <c r="H116" s="14" t="s">
        <v>176</v>
      </c>
      <c r="I116" s="14"/>
      <c r="J116" s="6"/>
      <c r="K116" s="6"/>
      <c r="L116" s="14"/>
    </row>
    <row r="117" spans="1:12" x14ac:dyDescent="0.3">
      <c r="A117" s="14" t="s">
        <v>175</v>
      </c>
      <c r="B117" s="14" t="s">
        <v>176</v>
      </c>
      <c r="C117" s="1"/>
      <c r="D117" s="14" t="s">
        <v>176</v>
      </c>
      <c r="F117" s="6"/>
      <c r="G117" s="6"/>
      <c r="H117" s="14" t="s">
        <v>176</v>
      </c>
      <c r="I117" s="14"/>
      <c r="J117" s="6"/>
      <c r="K117" s="6"/>
      <c r="L117" s="14"/>
    </row>
    <row r="118" spans="1:12" x14ac:dyDescent="0.3">
      <c r="A118" s="14" t="s">
        <v>175</v>
      </c>
      <c r="B118" s="14" t="s">
        <v>176</v>
      </c>
      <c r="C118" s="1"/>
      <c r="D118" s="14" t="s">
        <v>176</v>
      </c>
      <c r="F118" s="6"/>
      <c r="G118" s="6"/>
      <c r="H118" s="14" t="s">
        <v>176</v>
      </c>
      <c r="I118" s="14"/>
      <c r="J118" s="6"/>
      <c r="K118" s="6"/>
      <c r="L118" s="14"/>
    </row>
    <row r="119" spans="1:12" x14ac:dyDescent="0.3">
      <c r="A119" s="14" t="s">
        <v>175</v>
      </c>
      <c r="B119" s="14" t="s">
        <v>176</v>
      </c>
      <c r="C119" s="1"/>
      <c r="D119" s="14" t="s">
        <v>176</v>
      </c>
      <c r="F119" s="6"/>
      <c r="G119" s="6"/>
      <c r="H119" s="14" t="s">
        <v>176</v>
      </c>
      <c r="I119" s="14"/>
      <c r="J119" s="6"/>
      <c r="K119" s="6"/>
      <c r="L119" s="14"/>
    </row>
    <row r="120" spans="1:12" x14ac:dyDescent="0.3">
      <c r="A120" s="14" t="s">
        <v>175</v>
      </c>
      <c r="B120" s="14" t="s">
        <v>176</v>
      </c>
      <c r="C120" s="1"/>
      <c r="D120" s="14" t="s">
        <v>176</v>
      </c>
      <c r="F120" s="6"/>
      <c r="G120" s="6"/>
      <c r="H120" s="14" t="s">
        <v>176</v>
      </c>
      <c r="I120" s="14"/>
      <c r="J120" s="6"/>
      <c r="K120" s="6"/>
      <c r="L120" s="14"/>
    </row>
    <row r="121" spans="1:12" x14ac:dyDescent="0.3">
      <c r="A121" s="14" t="s">
        <v>175</v>
      </c>
      <c r="B121" s="14" t="s">
        <v>176</v>
      </c>
      <c r="C121" s="1"/>
      <c r="D121" s="14" t="s">
        <v>176</v>
      </c>
      <c r="F121" s="6"/>
      <c r="G121" s="6"/>
      <c r="H121" s="14" t="s">
        <v>176</v>
      </c>
      <c r="I121" s="14"/>
      <c r="J121" s="6"/>
      <c r="K121" s="6"/>
      <c r="L121" s="14"/>
    </row>
    <row r="122" spans="1:12" x14ac:dyDescent="0.3">
      <c r="A122" s="14" t="s">
        <v>177</v>
      </c>
      <c r="B122" s="14" t="s">
        <v>148</v>
      </c>
      <c r="C122" s="1">
        <v>46145</v>
      </c>
      <c r="D122" s="14" t="s">
        <v>11</v>
      </c>
      <c r="E122">
        <v>3</v>
      </c>
      <c r="F122" s="6">
        <v>304.02</v>
      </c>
      <c r="G122" s="6">
        <v>52.38</v>
      </c>
      <c r="H122" s="14" t="s">
        <v>9</v>
      </c>
      <c r="I122" s="14" t="s">
        <v>125</v>
      </c>
      <c r="J122" s="6">
        <v>8.81</v>
      </c>
      <c r="K122" s="6">
        <v>242.82999999999998</v>
      </c>
      <c r="L122" s="14" t="s">
        <v>149</v>
      </c>
    </row>
    <row r="123" spans="1:12" x14ac:dyDescent="0.3">
      <c r="A123" s="14" t="s">
        <v>177</v>
      </c>
      <c r="B123" s="14" t="s">
        <v>150</v>
      </c>
      <c r="C123" s="1">
        <v>46145</v>
      </c>
      <c r="D123" s="14" t="s">
        <v>11</v>
      </c>
      <c r="E123">
        <v>4</v>
      </c>
      <c r="F123" s="6">
        <v>337.44</v>
      </c>
      <c r="G123" s="6">
        <v>57.36</v>
      </c>
      <c r="H123" s="14" t="s">
        <v>21</v>
      </c>
      <c r="I123" s="14" t="s">
        <v>124</v>
      </c>
      <c r="J123" s="6">
        <v>7.3</v>
      </c>
      <c r="K123" s="6">
        <v>272.77999999999997</v>
      </c>
      <c r="L123" s="14" t="s">
        <v>149</v>
      </c>
    </row>
    <row r="124" spans="1:12" x14ac:dyDescent="0.3">
      <c r="A124" s="14" t="s">
        <v>177</v>
      </c>
      <c r="B124" s="14" t="s">
        <v>151</v>
      </c>
      <c r="C124" s="1">
        <v>46147</v>
      </c>
      <c r="D124" s="14" t="s">
        <v>15</v>
      </c>
      <c r="E124">
        <v>5</v>
      </c>
      <c r="F124" s="6">
        <v>430.6</v>
      </c>
      <c r="G124" s="6">
        <v>7.56</v>
      </c>
      <c r="H124" s="14" t="s">
        <v>21</v>
      </c>
      <c r="I124" s="14" t="s">
        <v>124</v>
      </c>
      <c r="J124" s="6">
        <v>12.6</v>
      </c>
      <c r="K124" s="6">
        <v>410.44</v>
      </c>
      <c r="L124" s="14" t="s">
        <v>149</v>
      </c>
    </row>
    <row r="125" spans="1:12" x14ac:dyDescent="0.3">
      <c r="A125" s="14" t="s">
        <v>177</v>
      </c>
      <c r="B125" s="14" t="s">
        <v>152</v>
      </c>
      <c r="C125" s="1">
        <v>46148</v>
      </c>
      <c r="D125" s="14" t="s">
        <v>44</v>
      </c>
      <c r="E125">
        <v>1</v>
      </c>
      <c r="F125" s="6">
        <v>43.29</v>
      </c>
      <c r="G125" s="6">
        <v>7.0000000000000007E-2</v>
      </c>
      <c r="H125" s="14" t="s">
        <v>9</v>
      </c>
      <c r="I125" s="14" t="s">
        <v>125</v>
      </c>
      <c r="J125" s="6">
        <v>12.29</v>
      </c>
      <c r="K125" s="6">
        <v>30.93</v>
      </c>
      <c r="L125" s="14" t="s">
        <v>149</v>
      </c>
    </row>
    <row r="126" spans="1:12" x14ac:dyDescent="0.3">
      <c r="A126" s="14" t="s">
        <v>177</v>
      </c>
      <c r="B126" s="14" t="s">
        <v>153</v>
      </c>
      <c r="C126" s="1">
        <v>46149</v>
      </c>
      <c r="D126" s="14" t="s">
        <v>8</v>
      </c>
      <c r="E126">
        <v>5</v>
      </c>
      <c r="F126" s="6">
        <v>117.45</v>
      </c>
      <c r="G126" s="6">
        <v>12.18</v>
      </c>
      <c r="H126" s="14" t="s">
        <v>9</v>
      </c>
      <c r="I126" s="14" t="s">
        <v>124</v>
      </c>
      <c r="J126" s="6">
        <v>14.38</v>
      </c>
      <c r="K126" s="6">
        <v>90.890000000000015</v>
      </c>
      <c r="L126" s="14" t="s">
        <v>149</v>
      </c>
    </row>
    <row r="127" spans="1:12" x14ac:dyDescent="0.3">
      <c r="A127" s="14" t="s">
        <v>177</v>
      </c>
      <c r="B127" s="14" t="s">
        <v>154</v>
      </c>
      <c r="C127" s="1">
        <v>46149</v>
      </c>
      <c r="D127" s="14" t="s">
        <v>27</v>
      </c>
      <c r="E127">
        <v>4</v>
      </c>
      <c r="F127" s="6">
        <v>470.2</v>
      </c>
      <c r="G127" s="6">
        <v>33.619999999999997</v>
      </c>
      <c r="H127" s="14" t="s">
        <v>9</v>
      </c>
      <c r="I127" s="14" t="s">
        <v>125</v>
      </c>
      <c r="J127" s="6">
        <v>6.99</v>
      </c>
      <c r="K127" s="6">
        <v>429.59</v>
      </c>
      <c r="L127" s="14" t="s">
        <v>149</v>
      </c>
    </row>
    <row r="128" spans="1:12" x14ac:dyDescent="0.3">
      <c r="A128" s="14" t="s">
        <v>177</v>
      </c>
      <c r="B128" s="14" t="s">
        <v>155</v>
      </c>
      <c r="C128" s="1">
        <v>46150</v>
      </c>
      <c r="D128" s="14" t="s">
        <v>11</v>
      </c>
      <c r="E128">
        <v>4</v>
      </c>
      <c r="F128" s="6">
        <v>310.08</v>
      </c>
      <c r="G128" s="6">
        <v>60.95</v>
      </c>
      <c r="H128" s="14" t="s">
        <v>12</v>
      </c>
      <c r="I128" s="14" t="s">
        <v>124</v>
      </c>
      <c r="J128" s="6">
        <v>12.93</v>
      </c>
      <c r="K128" s="6">
        <v>236.2</v>
      </c>
      <c r="L128" s="14" t="s">
        <v>149</v>
      </c>
    </row>
    <row r="129" spans="1:12" x14ac:dyDescent="0.3">
      <c r="A129" s="14" t="s">
        <v>177</v>
      </c>
      <c r="B129" s="14" t="s">
        <v>156</v>
      </c>
      <c r="C129" s="1">
        <v>46150</v>
      </c>
      <c r="D129" s="14" t="s">
        <v>11</v>
      </c>
      <c r="E129">
        <v>1</v>
      </c>
      <c r="F129" s="6">
        <v>26.53</v>
      </c>
      <c r="G129" s="6">
        <v>0.91</v>
      </c>
      <c r="H129" s="14" t="s">
        <v>25</v>
      </c>
      <c r="I129" s="14" t="s">
        <v>125</v>
      </c>
      <c r="J129" s="6">
        <v>13.22</v>
      </c>
      <c r="K129" s="6">
        <v>12.4</v>
      </c>
      <c r="L129" s="14" t="s">
        <v>149</v>
      </c>
    </row>
    <row r="130" spans="1:12" x14ac:dyDescent="0.3">
      <c r="A130" s="14" t="s">
        <v>177</v>
      </c>
      <c r="B130" s="14" t="s">
        <v>157</v>
      </c>
      <c r="C130" s="1">
        <v>46151</v>
      </c>
      <c r="D130" s="14" t="s">
        <v>15</v>
      </c>
      <c r="E130">
        <v>4</v>
      </c>
      <c r="F130" s="6">
        <v>325.44</v>
      </c>
      <c r="G130" s="6">
        <v>9.3000000000000007</v>
      </c>
      <c r="H130" s="14" t="s">
        <v>16</v>
      </c>
      <c r="I130" s="14" t="s">
        <v>124</v>
      </c>
      <c r="J130" s="6">
        <v>6.52</v>
      </c>
      <c r="K130" s="6">
        <v>309.62</v>
      </c>
      <c r="L130" s="14" t="s">
        <v>149</v>
      </c>
    </row>
    <row r="131" spans="1:12" x14ac:dyDescent="0.3">
      <c r="A131" s="14" t="s">
        <v>177</v>
      </c>
      <c r="B131" s="14" t="s">
        <v>158</v>
      </c>
      <c r="C131" s="1">
        <v>46155</v>
      </c>
      <c r="D131" s="14" t="s">
        <v>15</v>
      </c>
      <c r="E131">
        <v>4</v>
      </c>
      <c r="F131" s="6">
        <v>198.48</v>
      </c>
      <c r="G131" s="6">
        <v>20.78</v>
      </c>
      <c r="H131" s="14" t="s">
        <v>9</v>
      </c>
      <c r="I131" s="14" t="s">
        <v>124</v>
      </c>
      <c r="J131" s="6">
        <v>13.5</v>
      </c>
      <c r="K131" s="6">
        <v>164.2</v>
      </c>
      <c r="L131" s="14" t="s">
        <v>149</v>
      </c>
    </row>
    <row r="132" spans="1:12" x14ac:dyDescent="0.3">
      <c r="A132" s="14" t="s">
        <v>177</v>
      </c>
      <c r="B132" s="14" t="s">
        <v>159</v>
      </c>
      <c r="C132" s="1">
        <v>46155</v>
      </c>
      <c r="D132" s="14" t="s">
        <v>15</v>
      </c>
      <c r="E132">
        <v>2</v>
      </c>
      <c r="F132" s="6">
        <v>123.02</v>
      </c>
      <c r="G132" s="6">
        <v>13.42</v>
      </c>
      <c r="H132" s="14" t="s">
        <v>34</v>
      </c>
      <c r="I132" s="14" t="s">
        <v>125</v>
      </c>
      <c r="J132" s="6">
        <v>5.83</v>
      </c>
      <c r="K132" s="6">
        <v>103.77</v>
      </c>
      <c r="L132" s="14" t="s">
        <v>149</v>
      </c>
    </row>
    <row r="133" spans="1:12" x14ac:dyDescent="0.3">
      <c r="A133" s="14" t="s">
        <v>177</v>
      </c>
      <c r="B133" s="14" t="s">
        <v>160</v>
      </c>
      <c r="C133" s="1">
        <v>46155</v>
      </c>
      <c r="D133" s="14" t="s">
        <v>8</v>
      </c>
      <c r="E133">
        <v>4</v>
      </c>
      <c r="F133" s="6">
        <v>447.32</v>
      </c>
      <c r="G133" s="6">
        <v>11.71</v>
      </c>
      <c r="H133" s="14" t="s">
        <v>16</v>
      </c>
      <c r="I133" s="14" t="s">
        <v>124</v>
      </c>
      <c r="J133" s="6">
        <v>9.69</v>
      </c>
      <c r="K133" s="6">
        <v>425.92</v>
      </c>
      <c r="L133" s="14" t="s">
        <v>149</v>
      </c>
    </row>
    <row r="134" spans="1:12" x14ac:dyDescent="0.3">
      <c r="A134" s="14" t="s">
        <v>177</v>
      </c>
      <c r="B134" s="14" t="s">
        <v>161</v>
      </c>
      <c r="C134" s="1">
        <v>46156</v>
      </c>
      <c r="D134" s="14" t="s">
        <v>11</v>
      </c>
      <c r="E134">
        <v>5</v>
      </c>
      <c r="F134" s="6">
        <v>569.15</v>
      </c>
      <c r="G134" s="6">
        <v>14.16</v>
      </c>
      <c r="H134" s="14" t="s">
        <v>38</v>
      </c>
      <c r="I134" s="14" t="s">
        <v>125</v>
      </c>
      <c r="J134" s="6">
        <v>5.43</v>
      </c>
      <c r="K134" s="6">
        <v>549.56000000000006</v>
      </c>
      <c r="L134" s="14" t="s">
        <v>149</v>
      </c>
    </row>
    <row r="135" spans="1:12" x14ac:dyDescent="0.3">
      <c r="A135" s="14" t="s">
        <v>177</v>
      </c>
      <c r="B135" s="14" t="s">
        <v>162</v>
      </c>
      <c r="C135" s="1">
        <v>46158</v>
      </c>
      <c r="D135" s="14" t="s">
        <v>11</v>
      </c>
      <c r="E135">
        <v>3</v>
      </c>
      <c r="F135" s="6">
        <v>99.84</v>
      </c>
      <c r="G135" s="6">
        <v>3.55</v>
      </c>
      <c r="H135" s="14" t="s">
        <v>34</v>
      </c>
      <c r="I135" s="14" t="s">
        <v>124</v>
      </c>
      <c r="J135" s="6">
        <v>9.25</v>
      </c>
      <c r="K135" s="6">
        <v>87.04</v>
      </c>
      <c r="L135" s="14" t="s">
        <v>149</v>
      </c>
    </row>
    <row r="136" spans="1:12" x14ac:dyDescent="0.3">
      <c r="A136" s="14" t="s">
        <v>177</v>
      </c>
      <c r="B136" s="14" t="s">
        <v>163</v>
      </c>
      <c r="C136" s="1">
        <v>46159</v>
      </c>
      <c r="D136" s="14" t="s">
        <v>11</v>
      </c>
      <c r="E136">
        <v>5</v>
      </c>
      <c r="F136" s="6">
        <v>242.55</v>
      </c>
      <c r="G136" s="6">
        <v>24.21</v>
      </c>
      <c r="H136" s="14" t="s">
        <v>9</v>
      </c>
      <c r="I136" s="14" t="s">
        <v>125</v>
      </c>
      <c r="J136" s="6">
        <v>14.9</v>
      </c>
      <c r="K136" s="6">
        <v>203.44</v>
      </c>
      <c r="L136" s="14" t="s">
        <v>149</v>
      </c>
    </row>
    <row r="137" spans="1:12" x14ac:dyDescent="0.3">
      <c r="A137" s="14" t="s">
        <v>177</v>
      </c>
      <c r="B137" s="14" t="s">
        <v>164</v>
      </c>
      <c r="C137" s="1">
        <v>46160</v>
      </c>
      <c r="D137" s="14" t="s">
        <v>8</v>
      </c>
      <c r="E137">
        <v>1</v>
      </c>
      <c r="F137" s="6">
        <v>105.08</v>
      </c>
      <c r="G137" s="6">
        <v>7.6</v>
      </c>
      <c r="H137" s="14" t="s">
        <v>38</v>
      </c>
      <c r="I137" s="14" t="s">
        <v>124</v>
      </c>
      <c r="J137" s="6">
        <v>9.6199999999999992</v>
      </c>
      <c r="K137" s="6">
        <v>87.86</v>
      </c>
      <c r="L137" s="14" t="s">
        <v>149</v>
      </c>
    </row>
    <row r="138" spans="1:12" x14ac:dyDescent="0.3">
      <c r="A138" s="14" t="s">
        <v>177</v>
      </c>
      <c r="B138" s="14" t="s">
        <v>165</v>
      </c>
      <c r="C138" s="1">
        <v>46161</v>
      </c>
      <c r="D138" s="14" t="s">
        <v>27</v>
      </c>
      <c r="E138">
        <v>3</v>
      </c>
      <c r="F138" s="6">
        <v>48.51</v>
      </c>
      <c r="G138" s="6">
        <v>8.08</v>
      </c>
      <c r="H138" s="14" t="s">
        <v>21</v>
      </c>
      <c r="I138" s="14" t="s">
        <v>124</v>
      </c>
      <c r="J138" s="6">
        <v>11.06</v>
      </c>
      <c r="K138" s="6">
        <v>29.369999999999997</v>
      </c>
      <c r="L138" s="14" t="s">
        <v>149</v>
      </c>
    </row>
    <row r="139" spans="1:12" x14ac:dyDescent="0.3">
      <c r="A139" s="14" t="s">
        <v>177</v>
      </c>
      <c r="B139" s="14" t="s">
        <v>166</v>
      </c>
      <c r="C139" s="1">
        <v>46162</v>
      </c>
      <c r="D139" s="14" t="s">
        <v>11</v>
      </c>
      <c r="E139">
        <v>4</v>
      </c>
      <c r="F139" s="6">
        <v>227.64</v>
      </c>
      <c r="G139" s="6">
        <v>37.44</v>
      </c>
      <c r="H139" s="14" t="s">
        <v>25</v>
      </c>
      <c r="I139" s="14" t="s">
        <v>124</v>
      </c>
      <c r="J139" s="6">
        <v>8.58</v>
      </c>
      <c r="K139" s="6">
        <v>181.61999999999998</v>
      </c>
      <c r="L139" s="14" t="s">
        <v>149</v>
      </c>
    </row>
    <row r="140" spans="1:12" x14ac:dyDescent="0.3">
      <c r="A140" s="14" t="s">
        <v>177</v>
      </c>
      <c r="B140" s="14" t="s">
        <v>167</v>
      </c>
      <c r="C140" s="1">
        <v>46162</v>
      </c>
      <c r="D140" s="14" t="s">
        <v>44</v>
      </c>
      <c r="E140">
        <v>4</v>
      </c>
      <c r="F140" s="6">
        <v>401.76</v>
      </c>
      <c r="G140" s="6">
        <v>42.94</v>
      </c>
      <c r="H140" s="14" t="s">
        <v>34</v>
      </c>
      <c r="I140" s="14" t="s">
        <v>124</v>
      </c>
      <c r="J140" s="6">
        <v>14.52</v>
      </c>
      <c r="K140" s="6">
        <v>344.3</v>
      </c>
      <c r="L140" s="14" t="s">
        <v>149</v>
      </c>
    </row>
    <row r="141" spans="1:12" x14ac:dyDescent="0.3">
      <c r="A141" s="14" t="s">
        <v>177</v>
      </c>
      <c r="B141" s="14" t="s">
        <v>168</v>
      </c>
      <c r="C141" s="1">
        <v>46162</v>
      </c>
      <c r="D141" s="14" t="s">
        <v>15</v>
      </c>
      <c r="E141">
        <v>3</v>
      </c>
      <c r="F141" s="6">
        <v>272.31</v>
      </c>
      <c r="G141" s="6">
        <v>21.71</v>
      </c>
      <c r="H141" s="14" t="s">
        <v>18</v>
      </c>
      <c r="I141" s="14" t="s">
        <v>124</v>
      </c>
      <c r="J141" s="6">
        <v>12.48</v>
      </c>
      <c r="K141" s="6">
        <v>238.12</v>
      </c>
      <c r="L141" s="14" t="s">
        <v>149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CB6B-5101-4BB3-A166-F0E624E36013}">
  <dimension ref="AD3:AE6"/>
  <sheetViews>
    <sheetView tabSelected="1" zoomScale="82" zoomScaleNormal="90" workbookViewId="0">
      <selection activeCell="P47" sqref="P47"/>
    </sheetView>
  </sheetViews>
  <sheetFormatPr defaultRowHeight="14.4" x14ac:dyDescent="0.3"/>
  <cols>
    <col min="1" max="30" width="8.88671875" style="10"/>
    <col min="31" max="31" width="11.109375" style="10" bestFit="1" customWidth="1"/>
    <col min="32" max="16384" width="8.88671875" style="10"/>
  </cols>
  <sheetData>
    <row r="3" spans="30:31" x14ac:dyDescent="0.3">
      <c r="AD3" s="10" t="s">
        <v>146</v>
      </c>
      <c r="AE3" s="12">
        <f>GETPIVOTDATA("Sum of Total Revenue",Dashboard_Data!$Q$3)</f>
        <v>20672.239999999994</v>
      </c>
    </row>
    <row r="4" spans="30:31" x14ac:dyDescent="0.3">
      <c r="AD4" s="10" t="s">
        <v>147</v>
      </c>
      <c r="AE4" s="13">
        <f>GETPIVOTDATA("Sum of Spend",Dashboard_Data!$Q$3)</f>
        <v>1773.03</v>
      </c>
    </row>
    <row r="5" spans="30:31" x14ac:dyDescent="0.3">
      <c r="AD5" s="10" t="s">
        <v>144</v>
      </c>
      <c r="AE5" s="11">
        <f>GETPIVOTDATA("Average of ROAS",Dashboard_Data!$Q$3)</f>
        <v>14.303448275862069</v>
      </c>
    </row>
    <row r="6" spans="30:31" x14ac:dyDescent="0.3">
      <c r="AD6" s="10" t="s">
        <v>126</v>
      </c>
      <c r="AE6" s="12">
        <f>GETPIVOTDATA("Sum of Net Profit Per Day",Dashboard_Data!$Q$3)</f>
        <v>15433.300000000001</v>
      </c>
    </row>
  </sheetData>
  <sheetProtection sheet="1" objects="1" scenarios="1" selectLockedCells="1" autoFilter="0" pivotTables="0"/>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3CA4-5B27-4E43-9740-DFE886424C6F}">
  <dimension ref="A3:AG48"/>
  <sheetViews>
    <sheetView topLeftCell="L1" workbookViewId="0">
      <selection activeCell="R4" sqref="R4"/>
    </sheetView>
  </sheetViews>
  <sheetFormatPr defaultRowHeight="14.4" x14ac:dyDescent="0.3"/>
  <cols>
    <col min="1" max="1" width="13.44140625" bestFit="1" customWidth="1"/>
    <col min="2" max="2" width="11.109375" bestFit="1" customWidth="1"/>
    <col min="3" max="3" width="10.109375" bestFit="1" customWidth="1"/>
    <col min="12" max="12" width="12.44140625" bestFit="1" customWidth="1"/>
    <col min="13" max="13" width="13.44140625" bestFit="1" customWidth="1"/>
    <col min="14" max="14" width="14.5546875" bestFit="1" customWidth="1"/>
    <col min="15" max="16" width="6.5546875" bestFit="1" customWidth="1"/>
    <col min="17" max="17" width="12.44140625" bestFit="1" customWidth="1"/>
    <col min="18" max="18" width="21.77734375" bestFit="1" customWidth="1"/>
    <col min="19" max="19" width="12.33203125" bestFit="1" customWidth="1"/>
    <col min="20" max="20" width="14.5546875" bestFit="1" customWidth="1"/>
    <col min="21" max="21" width="18.6640625" bestFit="1" customWidth="1"/>
    <col min="22" max="23" width="6.5546875" bestFit="1" customWidth="1"/>
    <col min="24" max="24" width="13.44140625" bestFit="1" customWidth="1"/>
    <col min="25" max="25" width="21.33203125" bestFit="1" customWidth="1"/>
    <col min="26" max="26" width="7" bestFit="1" customWidth="1"/>
    <col min="27" max="27" width="6.5546875" bestFit="1" customWidth="1"/>
    <col min="28" max="28" width="7" bestFit="1" customWidth="1"/>
    <col min="29" max="29" width="12.44140625" bestFit="1" customWidth="1"/>
    <col min="30" max="30" width="8.88671875" bestFit="1" customWidth="1"/>
    <col min="31" max="31" width="9.21875" bestFit="1" customWidth="1"/>
    <col min="32" max="32" width="11.6640625" bestFit="1" customWidth="1"/>
    <col min="33" max="33" width="15" bestFit="1" customWidth="1"/>
    <col min="35" max="35" width="12.44140625" bestFit="1" customWidth="1"/>
    <col min="36" max="36" width="8.88671875" bestFit="1" customWidth="1"/>
    <col min="37" max="37" width="9.21875" bestFit="1" customWidth="1"/>
    <col min="38" max="38" width="11.6640625" bestFit="1" customWidth="1"/>
    <col min="39" max="39" width="15" bestFit="1" customWidth="1"/>
    <col min="40" max="40" width="12.33203125" bestFit="1" customWidth="1"/>
    <col min="41" max="41" width="14.44140625" bestFit="1" customWidth="1"/>
    <col min="42" max="42" width="15" bestFit="1" customWidth="1"/>
    <col min="43" max="43" width="12.33203125" bestFit="1" customWidth="1"/>
    <col min="44" max="44" width="14.44140625" bestFit="1" customWidth="1"/>
    <col min="45" max="45" width="15" bestFit="1" customWidth="1"/>
    <col min="46" max="46" width="12.33203125" bestFit="1" customWidth="1"/>
    <col min="47" max="47" width="14.44140625" bestFit="1" customWidth="1"/>
    <col min="48" max="48" width="15" bestFit="1" customWidth="1"/>
    <col min="49" max="49" width="12.33203125" bestFit="1" customWidth="1"/>
    <col min="50" max="50" width="14.44140625" bestFit="1" customWidth="1"/>
    <col min="51" max="51" width="15" bestFit="1" customWidth="1"/>
    <col min="52" max="52" width="12.33203125" bestFit="1" customWidth="1"/>
    <col min="53" max="53" width="14.44140625" bestFit="1" customWidth="1"/>
    <col min="54" max="54" width="15" bestFit="1" customWidth="1"/>
    <col min="55" max="55" width="12.33203125" bestFit="1" customWidth="1"/>
    <col min="56" max="56" width="14.44140625" bestFit="1" customWidth="1"/>
    <col min="57" max="57" width="15" bestFit="1" customWidth="1"/>
    <col min="58" max="58" width="12.33203125" bestFit="1" customWidth="1"/>
    <col min="59" max="59" width="14.44140625" bestFit="1" customWidth="1"/>
    <col min="60" max="60" width="15" bestFit="1" customWidth="1"/>
    <col min="61" max="61" width="12.33203125" bestFit="1" customWidth="1"/>
    <col min="62" max="62" width="14.44140625" bestFit="1" customWidth="1"/>
    <col min="63" max="63" width="15" bestFit="1" customWidth="1"/>
    <col min="64" max="64" width="12.33203125" bestFit="1" customWidth="1"/>
    <col min="65" max="65" width="14.44140625" bestFit="1" customWidth="1"/>
    <col min="66" max="66" width="15" bestFit="1" customWidth="1"/>
    <col min="67" max="67" width="12.33203125" bestFit="1" customWidth="1"/>
    <col min="68" max="68" width="14.44140625" bestFit="1" customWidth="1"/>
    <col min="69" max="69" width="15" bestFit="1" customWidth="1"/>
    <col min="70" max="70" width="12.33203125" bestFit="1" customWidth="1"/>
    <col min="71" max="71" width="14.44140625" bestFit="1" customWidth="1"/>
    <col min="72" max="72" width="15" bestFit="1" customWidth="1"/>
    <col min="73" max="73" width="12.33203125" bestFit="1" customWidth="1"/>
    <col min="74" max="74" width="14.44140625" bestFit="1" customWidth="1"/>
    <col min="75" max="75" width="15" bestFit="1" customWidth="1"/>
    <col min="76" max="76" width="12.33203125" bestFit="1" customWidth="1"/>
    <col min="77" max="77" width="14.44140625" bestFit="1" customWidth="1"/>
    <col min="78" max="78" width="15" bestFit="1" customWidth="1"/>
    <col min="79" max="79" width="12.33203125" bestFit="1" customWidth="1"/>
    <col min="80" max="80" width="14.44140625" bestFit="1" customWidth="1"/>
    <col min="81" max="81" width="15" bestFit="1" customWidth="1"/>
    <col min="82" max="82" width="12.33203125" bestFit="1" customWidth="1"/>
    <col min="83" max="83" width="14.44140625" bestFit="1" customWidth="1"/>
    <col min="84" max="84" width="15" bestFit="1" customWidth="1"/>
    <col min="85" max="85" width="12.33203125" bestFit="1" customWidth="1"/>
    <col min="86" max="86" width="14.44140625" bestFit="1" customWidth="1"/>
    <col min="87" max="87" width="15" bestFit="1" customWidth="1"/>
    <col min="88" max="88" width="12.33203125" bestFit="1" customWidth="1"/>
    <col min="89" max="89" width="14.44140625" bestFit="1" customWidth="1"/>
    <col min="90" max="90" width="15" bestFit="1" customWidth="1"/>
    <col min="91" max="91" width="12.33203125" bestFit="1" customWidth="1"/>
    <col min="92" max="92" width="14.44140625" bestFit="1" customWidth="1"/>
    <col min="93" max="93" width="15" bestFit="1" customWidth="1"/>
    <col min="94" max="94" width="12.33203125" bestFit="1" customWidth="1"/>
    <col min="95" max="95" width="14.44140625" bestFit="1" customWidth="1"/>
    <col min="96" max="96" width="15" bestFit="1" customWidth="1"/>
    <col min="97" max="97" width="12.33203125" bestFit="1" customWidth="1"/>
    <col min="98" max="98" width="14.44140625" bestFit="1" customWidth="1"/>
    <col min="99" max="99" width="15" bestFit="1" customWidth="1"/>
    <col min="100" max="100" width="12.33203125" bestFit="1" customWidth="1"/>
    <col min="101" max="101" width="14.44140625" bestFit="1" customWidth="1"/>
    <col min="102" max="102" width="15" bestFit="1" customWidth="1"/>
    <col min="103" max="103" width="12.33203125" bestFit="1" customWidth="1"/>
    <col min="104" max="104" width="14.44140625" bestFit="1" customWidth="1"/>
    <col min="105" max="105" width="15" bestFit="1" customWidth="1"/>
    <col min="106" max="106" width="12.33203125" bestFit="1" customWidth="1"/>
    <col min="107" max="107" width="14.44140625" bestFit="1" customWidth="1"/>
    <col min="108" max="108" width="15" bestFit="1" customWidth="1"/>
    <col min="109" max="109" width="12.33203125" bestFit="1" customWidth="1"/>
    <col min="110" max="110" width="14.44140625" bestFit="1" customWidth="1"/>
    <col min="111" max="111" width="15" bestFit="1" customWidth="1"/>
    <col min="112" max="112" width="12.33203125" bestFit="1" customWidth="1"/>
    <col min="113" max="113" width="14.44140625" bestFit="1" customWidth="1"/>
    <col min="114" max="114" width="15" bestFit="1" customWidth="1"/>
    <col min="115" max="115" width="12.33203125" bestFit="1" customWidth="1"/>
    <col min="116" max="116" width="14.44140625" bestFit="1" customWidth="1"/>
    <col min="117" max="117" width="15" bestFit="1" customWidth="1"/>
    <col min="118" max="118" width="12.33203125" bestFit="1" customWidth="1"/>
    <col min="119" max="119" width="14.44140625" bestFit="1" customWidth="1"/>
    <col min="120" max="120" width="15" bestFit="1" customWidth="1"/>
    <col min="121" max="121" width="12.33203125" bestFit="1" customWidth="1"/>
    <col min="122" max="122" width="14.44140625" bestFit="1" customWidth="1"/>
    <col min="123" max="123" width="15" bestFit="1" customWidth="1"/>
    <col min="124" max="124" width="12.33203125" bestFit="1" customWidth="1"/>
    <col min="125" max="125" width="14.44140625" bestFit="1" customWidth="1"/>
    <col min="126" max="126" width="15" bestFit="1" customWidth="1"/>
    <col min="127" max="127" width="12.33203125" bestFit="1" customWidth="1"/>
    <col min="128" max="128" width="14.44140625" bestFit="1" customWidth="1"/>
    <col min="129" max="129" width="15" bestFit="1" customWidth="1"/>
    <col min="130" max="130" width="12.33203125" bestFit="1" customWidth="1"/>
    <col min="131" max="131" width="14.44140625" bestFit="1" customWidth="1"/>
    <col min="132" max="132" width="15" bestFit="1" customWidth="1"/>
    <col min="133" max="133" width="12.33203125" bestFit="1" customWidth="1"/>
    <col min="134" max="134" width="14.44140625" bestFit="1" customWidth="1"/>
    <col min="135" max="135" width="15" bestFit="1" customWidth="1"/>
    <col min="136" max="136" width="12.33203125" bestFit="1" customWidth="1"/>
    <col min="137" max="137" width="14.44140625" bestFit="1" customWidth="1"/>
    <col min="138" max="138" width="15" bestFit="1" customWidth="1"/>
    <col min="139" max="139" width="12.33203125" bestFit="1" customWidth="1"/>
    <col min="140" max="140" width="14.44140625" bestFit="1" customWidth="1"/>
    <col min="141" max="141" width="15" bestFit="1" customWidth="1"/>
    <col min="142" max="142" width="12.33203125" bestFit="1" customWidth="1"/>
    <col min="143" max="143" width="14.44140625" bestFit="1" customWidth="1"/>
    <col min="144" max="144" width="15" bestFit="1" customWidth="1"/>
    <col min="145" max="145" width="12.33203125" bestFit="1" customWidth="1"/>
    <col min="146" max="146" width="14.44140625" bestFit="1" customWidth="1"/>
    <col min="147" max="147" width="15" bestFit="1" customWidth="1"/>
    <col min="148" max="148" width="12.33203125" bestFit="1" customWidth="1"/>
    <col min="149" max="149" width="14.44140625" bestFit="1" customWidth="1"/>
    <col min="150" max="150" width="15" bestFit="1" customWidth="1"/>
    <col min="151" max="151" width="12.33203125" bestFit="1" customWidth="1"/>
    <col min="152" max="152" width="14.44140625" bestFit="1" customWidth="1"/>
    <col min="153" max="153" width="15" bestFit="1" customWidth="1"/>
    <col min="154" max="154" width="12.33203125" bestFit="1" customWidth="1"/>
    <col min="155" max="155" width="14.44140625" bestFit="1" customWidth="1"/>
    <col min="156" max="156" width="15" bestFit="1" customWidth="1"/>
    <col min="157" max="157" width="12.33203125" bestFit="1" customWidth="1"/>
    <col min="158" max="158" width="14.44140625" bestFit="1" customWidth="1"/>
    <col min="159" max="159" width="15" bestFit="1" customWidth="1"/>
    <col min="160" max="160" width="12.33203125" bestFit="1" customWidth="1"/>
    <col min="161" max="161" width="14.44140625" bestFit="1" customWidth="1"/>
    <col min="162" max="162" width="19.5546875" bestFit="1" customWidth="1"/>
    <col min="163" max="163" width="16.88671875" bestFit="1" customWidth="1"/>
    <col min="164" max="164" width="19" bestFit="1" customWidth="1"/>
    <col min="165" max="165" width="12.33203125" bestFit="1" customWidth="1"/>
    <col min="166" max="166" width="21" bestFit="1" customWidth="1"/>
    <col min="167" max="167" width="18.44140625" bestFit="1" customWidth="1"/>
    <col min="168" max="168" width="15" bestFit="1" customWidth="1"/>
    <col min="169" max="169" width="12.33203125" bestFit="1" customWidth="1"/>
    <col min="170" max="170" width="21" bestFit="1" customWidth="1"/>
    <col min="171" max="171" width="18.44140625" bestFit="1" customWidth="1"/>
    <col min="172" max="172" width="15" bestFit="1" customWidth="1"/>
    <col min="173" max="173" width="12.33203125" bestFit="1" customWidth="1"/>
    <col min="174" max="174" width="21" bestFit="1" customWidth="1"/>
    <col min="175" max="175" width="18.44140625" bestFit="1" customWidth="1"/>
    <col min="176" max="176" width="15" bestFit="1" customWidth="1"/>
    <col min="177" max="177" width="12.33203125" bestFit="1" customWidth="1"/>
    <col min="178" max="178" width="21" bestFit="1" customWidth="1"/>
    <col min="179" max="179" width="18.44140625" bestFit="1" customWidth="1"/>
    <col min="180" max="180" width="15" bestFit="1" customWidth="1"/>
    <col min="181" max="181" width="12.33203125" bestFit="1" customWidth="1"/>
    <col min="182" max="182" width="21" bestFit="1" customWidth="1"/>
    <col min="183" max="183" width="18.44140625" bestFit="1" customWidth="1"/>
    <col min="184" max="184" width="15" bestFit="1" customWidth="1"/>
    <col min="185" max="185" width="12.33203125" bestFit="1" customWidth="1"/>
    <col min="186" max="186" width="21" bestFit="1" customWidth="1"/>
    <col min="187" max="187" width="18.44140625" bestFit="1" customWidth="1"/>
    <col min="188" max="188" width="15" bestFit="1" customWidth="1"/>
    <col min="189" max="189" width="12.33203125" bestFit="1" customWidth="1"/>
    <col min="190" max="190" width="21" bestFit="1" customWidth="1"/>
    <col min="191" max="191" width="18.44140625" bestFit="1" customWidth="1"/>
    <col min="192" max="192" width="15" bestFit="1" customWidth="1"/>
    <col min="193" max="193" width="12.33203125" bestFit="1" customWidth="1"/>
    <col min="194" max="194" width="21" bestFit="1" customWidth="1"/>
    <col min="195" max="195" width="18.44140625" bestFit="1" customWidth="1"/>
    <col min="196" max="196" width="15" bestFit="1" customWidth="1"/>
    <col min="197" max="197" width="12.33203125" bestFit="1" customWidth="1"/>
    <col min="198" max="198" width="20" bestFit="1" customWidth="1"/>
    <col min="199" max="199" width="17.44140625" bestFit="1" customWidth="1"/>
    <col min="200" max="200" width="15" bestFit="1" customWidth="1"/>
    <col min="201" max="201" width="12.33203125" bestFit="1" customWidth="1"/>
    <col min="202" max="202" width="20" bestFit="1" customWidth="1"/>
    <col min="203" max="203" width="17.44140625" bestFit="1" customWidth="1"/>
    <col min="204" max="204" width="19.5546875" bestFit="1" customWidth="1"/>
    <col min="205" max="205" width="16.88671875" bestFit="1" customWidth="1"/>
  </cols>
  <sheetData>
    <row r="3" spans="1:33" x14ac:dyDescent="0.3">
      <c r="A3" s="2" t="s">
        <v>127</v>
      </c>
      <c r="B3" t="s">
        <v>146</v>
      </c>
      <c r="C3" t="s">
        <v>147</v>
      </c>
      <c r="L3" s="2" t="s">
        <v>127</v>
      </c>
      <c r="M3" t="s">
        <v>129</v>
      </c>
      <c r="Q3" s="2" t="s">
        <v>127</v>
      </c>
      <c r="R3" t="s">
        <v>140</v>
      </c>
      <c r="S3" t="s">
        <v>141</v>
      </c>
      <c r="T3" t="s">
        <v>145</v>
      </c>
      <c r="U3" t="s">
        <v>143</v>
      </c>
      <c r="X3" s="2" t="s">
        <v>127</v>
      </c>
      <c r="Y3" t="s">
        <v>169</v>
      </c>
    </row>
    <row r="4" spans="1:33" x14ac:dyDescent="0.3">
      <c r="A4" s="3" t="s">
        <v>131</v>
      </c>
      <c r="B4" s="6">
        <v>20672.239999999994</v>
      </c>
      <c r="C4" s="6">
        <v>1773.03</v>
      </c>
      <c r="L4" s="3" t="s">
        <v>44</v>
      </c>
      <c r="M4" s="14">
        <v>3450.9300000000012</v>
      </c>
      <c r="Q4" s="3" t="s">
        <v>131</v>
      </c>
      <c r="R4" s="5">
        <v>15433.300000000001</v>
      </c>
      <c r="S4" s="14">
        <v>1773.03</v>
      </c>
      <c r="T4" s="9">
        <v>14.303448275862069</v>
      </c>
      <c r="U4" s="14">
        <v>20672.239999999994</v>
      </c>
      <c r="X4" s="3" t="s">
        <v>131</v>
      </c>
      <c r="Y4" s="6"/>
    </row>
    <row r="5" spans="1:33" x14ac:dyDescent="0.3">
      <c r="A5" s="4">
        <v>46113</v>
      </c>
      <c r="B5" s="6">
        <v>780.18</v>
      </c>
      <c r="C5" s="6">
        <v>77.930000000000007</v>
      </c>
      <c r="L5" s="3" t="s">
        <v>15</v>
      </c>
      <c r="M5" s="14">
        <v>5066.05</v>
      </c>
      <c r="Q5" s="3" t="s">
        <v>128</v>
      </c>
      <c r="R5" s="6">
        <v>15433.300000000001</v>
      </c>
      <c r="S5" s="14">
        <v>1773.03</v>
      </c>
      <c r="T5" s="9">
        <v>14.303448275862069</v>
      </c>
      <c r="U5" s="14">
        <v>20672.239999999994</v>
      </c>
      <c r="X5" s="4">
        <v>46113</v>
      </c>
      <c r="Y5" s="6">
        <v>564.30999999999995</v>
      </c>
      <c r="AC5" s="2" t="s">
        <v>127</v>
      </c>
      <c r="AD5" t="s">
        <v>147</v>
      </c>
      <c r="AE5" t="s">
        <v>5</v>
      </c>
      <c r="AF5" t="s">
        <v>123</v>
      </c>
      <c r="AG5" t="s">
        <v>173</v>
      </c>
    </row>
    <row r="6" spans="1:33" x14ac:dyDescent="0.3">
      <c r="A6" s="4">
        <v>46114</v>
      </c>
      <c r="B6" s="6">
        <v>556.56999999999994</v>
      </c>
      <c r="C6" s="6">
        <v>98.46</v>
      </c>
      <c r="L6" s="3" t="s">
        <v>11</v>
      </c>
      <c r="M6" s="14">
        <v>5214.4800000000014</v>
      </c>
      <c r="X6" s="4">
        <v>46114</v>
      </c>
      <c r="Y6" s="6">
        <v>932.34999999999991</v>
      </c>
      <c r="AC6" s="3" t="s">
        <v>131</v>
      </c>
      <c r="AD6" s="14">
        <v>1773.03</v>
      </c>
      <c r="AE6" s="14">
        <v>2470.73</v>
      </c>
      <c r="AF6" s="14">
        <v>995.18</v>
      </c>
      <c r="AG6" s="14">
        <v>15433.300000000001</v>
      </c>
    </row>
    <row r="7" spans="1:33" x14ac:dyDescent="0.3">
      <c r="A7" s="4">
        <v>46115</v>
      </c>
      <c r="B7" s="6">
        <v>1356.19</v>
      </c>
      <c r="C7" s="6">
        <v>92.55</v>
      </c>
      <c r="L7" s="3" t="s">
        <v>8</v>
      </c>
      <c r="M7" s="14">
        <v>5649.6200000000008</v>
      </c>
      <c r="X7" s="4">
        <v>46115</v>
      </c>
      <c r="Y7" s="6">
        <v>1948.99</v>
      </c>
      <c r="AC7" s="3" t="s">
        <v>149</v>
      </c>
      <c r="AD7" s="14">
        <v>888.18999999999994</v>
      </c>
      <c r="AE7" s="14">
        <v>439.93000000000006</v>
      </c>
      <c r="AF7" s="14">
        <v>209.90000000000003</v>
      </c>
      <c r="AG7" s="14">
        <v>3562.6900000000005</v>
      </c>
    </row>
    <row r="8" spans="1:33" x14ac:dyDescent="0.3">
      <c r="A8" s="4">
        <v>46116</v>
      </c>
      <c r="B8" s="6">
        <v>1428.84</v>
      </c>
      <c r="C8" s="6">
        <v>26.72</v>
      </c>
      <c r="L8" s="3" t="s">
        <v>27</v>
      </c>
      <c r="M8" s="14">
        <v>6391.869999999999</v>
      </c>
      <c r="X8" s="4">
        <v>46116</v>
      </c>
      <c r="Y8" s="6">
        <v>3111.28</v>
      </c>
      <c r="AC8" s="3" t="s">
        <v>128</v>
      </c>
      <c r="AD8" s="14">
        <v>2661.22</v>
      </c>
      <c r="AE8" s="14">
        <v>2910.66</v>
      </c>
      <c r="AF8" s="14">
        <v>1205.08</v>
      </c>
      <c r="AG8" s="14">
        <v>18995.990000000002</v>
      </c>
    </row>
    <row r="9" spans="1:33" x14ac:dyDescent="0.3">
      <c r="A9" s="4">
        <v>46117</v>
      </c>
      <c r="B9" s="6">
        <v>701.58999999999992</v>
      </c>
      <c r="C9" s="6">
        <v>89.35</v>
      </c>
      <c r="L9" s="3" t="s">
        <v>128</v>
      </c>
      <c r="M9" s="14">
        <v>25772.950000000004</v>
      </c>
      <c r="X9" s="4">
        <v>46117</v>
      </c>
      <c r="Y9" s="6">
        <v>3629.3900000000003</v>
      </c>
    </row>
    <row r="10" spans="1:33" x14ac:dyDescent="0.3">
      <c r="A10" s="4">
        <v>46118</v>
      </c>
      <c r="B10" s="6">
        <v>491.77</v>
      </c>
      <c r="C10" s="6">
        <v>40.81</v>
      </c>
      <c r="X10" s="4">
        <v>46118</v>
      </c>
      <c r="Y10" s="6">
        <v>4031.55</v>
      </c>
    </row>
    <row r="11" spans="1:33" x14ac:dyDescent="0.3">
      <c r="A11" s="4">
        <v>46119</v>
      </c>
      <c r="B11" s="6">
        <v>539.9</v>
      </c>
      <c r="C11" s="6">
        <v>56.38</v>
      </c>
      <c r="X11" s="4">
        <v>46119</v>
      </c>
      <c r="Y11" s="6">
        <v>4426.3100000000004</v>
      </c>
    </row>
    <row r="12" spans="1:33" x14ac:dyDescent="0.3">
      <c r="A12" s="4">
        <v>46120</v>
      </c>
      <c r="B12" s="6">
        <v>1200.9000000000001</v>
      </c>
      <c r="C12" s="6">
        <v>42.26</v>
      </c>
      <c r="M12" s="2" t="s">
        <v>127</v>
      </c>
      <c r="N12" t="s">
        <v>145</v>
      </c>
      <c r="X12" s="4">
        <v>46120</v>
      </c>
      <c r="Y12" s="6">
        <v>5406.35</v>
      </c>
    </row>
    <row r="13" spans="1:33" x14ac:dyDescent="0.3">
      <c r="A13" s="4">
        <v>46121</v>
      </c>
      <c r="B13" s="6">
        <v>857.79000000000008</v>
      </c>
      <c r="C13" s="6">
        <v>86.79</v>
      </c>
      <c r="M13" s="3" t="s">
        <v>131</v>
      </c>
      <c r="N13" s="9">
        <v>14.303448275862069</v>
      </c>
      <c r="X13" s="4">
        <v>46121</v>
      </c>
      <c r="Y13" s="6">
        <v>6005.17</v>
      </c>
    </row>
    <row r="14" spans="1:33" x14ac:dyDescent="0.3">
      <c r="A14" s="4">
        <v>46122</v>
      </c>
      <c r="B14" s="6">
        <v>378.2</v>
      </c>
      <c r="C14" s="6">
        <v>79.92</v>
      </c>
      <c r="M14" s="4">
        <v>46113</v>
      </c>
      <c r="N14" s="9">
        <v>10.01</v>
      </c>
      <c r="X14" s="4">
        <v>46122</v>
      </c>
      <c r="Y14" s="6">
        <v>6236.13</v>
      </c>
    </row>
    <row r="15" spans="1:33" x14ac:dyDescent="0.3">
      <c r="A15" s="4">
        <v>46123</v>
      </c>
      <c r="B15" s="6">
        <v>231.85</v>
      </c>
      <c r="C15" s="6">
        <v>37.94</v>
      </c>
      <c r="M15" s="4">
        <v>46114</v>
      </c>
      <c r="N15" s="9">
        <v>5.65</v>
      </c>
      <c r="X15" s="4">
        <v>46123</v>
      </c>
      <c r="Y15" s="6">
        <v>6388.92</v>
      </c>
    </row>
    <row r="16" spans="1:33" x14ac:dyDescent="0.3">
      <c r="A16" s="4">
        <v>46124</v>
      </c>
      <c r="B16" s="6">
        <v>1895.42</v>
      </c>
      <c r="C16" s="6">
        <v>80.34</v>
      </c>
      <c r="M16" s="4">
        <v>46115</v>
      </c>
      <c r="N16" s="9">
        <v>14.65</v>
      </c>
      <c r="X16" s="4">
        <v>46124</v>
      </c>
      <c r="Y16" s="6">
        <v>7849.16</v>
      </c>
    </row>
    <row r="17" spans="1:30" x14ac:dyDescent="0.3">
      <c r="A17" s="4">
        <v>46125</v>
      </c>
      <c r="B17" s="6">
        <v>931.25</v>
      </c>
      <c r="C17" s="6">
        <v>87.14</v>
      </c>
      <c r="M17" s="4">
        <v>46116</v>
      </c>
      <c r="N17" s="9">
        <v>53.47</v>
      </c>
      <c r="X17" s="4">
        <v>46125</v>
      </c>
      <c r="Y17" s="6">
        <v>8538.07</v>
      </c>
    </row>
    <row r="18" spans="1:30" x14ac:dyDescent="0.3">
      <c r="A18" s="4">
        <v>46126</v>
      </c>
      <c r="B18" s="6">
        <v>675.45</v>
      </c>
      <c r="C18" s="6">
        <v>39.08</v>
      </c>
      <c r="M18" s="4">
        <v>46117</v>
      </c>
      <c r="N18" s="9">
        <v>7.85</v>
      </c>
      <c r="X18" s="4">
        <v>46126</v>
      </c>
      <c r="Y18" s="6">
        <v>9027.68</v>
      </c>
    </row>
    <row r="19" spans="1:30" x14ac:dyDescent="0.3">
      <c r="A19" s="4">
        <v>46127</v>
      </c>
      <c r="B19" s="6">
        <v>530.98</v>
      </c>
      <c r="C19" s="6">
        <v>65.12</v>
      </c>
      <c r="M19" s="4">
        <v>46118</v>
      </c>
      <c r="N19" s="9">
        <v>12.05</v>
      </c>
      <c r="X19" s="4">
        <v>46127</v>
      </c>
      <c r="Y19" s="6">
        <v>9450.83</v>
      </c>
    </row>
    <row r="20" spans="1:30" x14ac:dyDescent="0.3">
      <c r="A20" s="4">
        <v>46129</v>
      </c>
      <c r="B20" s="6">
        <v>102.63</v>
      </c>
      <c r="C20" s="6">
        <v>33.42</v>
      </c>
      <c r="M20" s="4">
        <v>46119</v>
      </c>
      <c r="N20" s="9">
        <v>9.58</v>
      </c>
      <c r="X20" s="4">
        <v>46129</v>
      </c>
      <c r="Y20" s="6">
        <v>9498.57</v>
      </c>
    </row>
    <row r="21" spans="1:30" x14ac:dyDescent="0.3">
      <c r="A21" s="4">
        <v>46130</v>
      </c>
      <c r="B21" s="6">
        <v>982.14</v>
      </c>
      <c r="C21" s="6">
        <v>82.22</v>
      </c>
      <c r="M21" s="4">
        <v>46120</v>
      </c>
      <c r="N21" s="9">
        <v>28.42</v>
      </c>
      <c r="X21" s="4">
        <v>46130</v>
      </c>
      <c r="Y21" s="6">
        <v>10239.86</v>
      </c>
    </row>
    <row r="22" spans="1:30" x14ac:dyDescent="0.3">
      <c r="A22" s="4">
        <v>46131</v>
      </c>
      <c r="B22" s="6">
        <v>522.30999999999995</v>
      </c>
      <c r="C22" s="6">
        <v>28.65</v>
      </c>
      <c r="M22" s="4">
        <v>46121</v>
      </c>
      <c r="N22" s="9">
        <v>9.8800000000000008</v>
      </c>
      <c r="X22" s="4">
        <v>46131</v>
      </c>
      <c r="Y22" s="6">
        <v>10635.62</v>
      </c>
      <c r="AD22" s="6"/>
    </row>
    <row r="23" spans="1:30" x14ac:dyDescent="0.3">
      <c r="A23" s="4">
        <v>46132</v>
      </c>
      <c r="B23" s="6">
        <v>331.25</v>
      </c>
      <c r="C23" s="6">
        <v>66.06</v>
      </c>
      <c r="M23" s="4">
        <v>46122</v>
      </c>
      <c r="N23" s="9">
        <v>4.7300000000000004</v>
      </c>
      <c r="X23" s="4">
        <v>46132</v>
      </c>
      <c r="Y23" s="6">
        <v>10843.050000000001</v>
      </c>
      <c r="AD23" s="6"/>
    </row>
    <row r="24" spans="1:30" x14ac:dyDescent="0.3">
      <c r="A24" s="4">
        <v>46133</v>
      </c>
      <c r="B24" s="6">
        <v>923.1</v>
      </c>
      <c r="C24" s="6">
        <v>95.32</v>
      </c>
      <c r="M24" s="4">
        <v>46123</v>
      </c>
      <c r="N24" s="9">
        <v>6.11</v>
      </c>
      <c r="X24" s="4">
        <v>46133</v>
      </c>
      <c r="Y24" s="6">
        <v>11483.420000000002</v>
      </c>
      <c r="AD24" s="6"/>
    </row>
    <row r="25" spans="1:30" x14ac:dyDescent="0.3">
      <c r="A25" s="4">
        <v>46134</v>
      </c>
      <c r="B25" s="6">
        <v>509.03999999999996</v>
      </c>
      <c r="C25" s="6">
        <v>67.37</v>
      </c>
      <c r="M25" s="4">
        <v>46124</v>
      </c>
      <c r="N25" s="9">
        <v>23.59</v>
      </c>
      <c r="X25" s="4">
        <v>46134</v>
      </c>
      <c r="Y25" s="6">
        <v>11885.170000000002</v>
      </c>
    </row>
    <row r="26" spans="1:30" x14ac:dyDescent="0.3">
      <c r="A26" s="4">
        <v>46135</v>
      </c>
      <c r="B26" s="6">
        <v>800.85000000000014</v>
      </c>
      <c r="C26" s="6">
        <v>28.15</v>
      </c>
      <c r="M26" s="4">
        <v>46125</v>
      </c>
      <c r="N26" s="9">
        <v>10.69</v>
      </c>
      <c r="X26" s="4">
        <v>46135</v>
      </c>
      <c r="Y26" s="6">
        <v>12517.870000000003</v>
      </c>
    </row>
    <row r="27" spans="1:30" x14ac:dyDescent="0.3">
      <c r="A27" s="4">
        <v>46136</v>
      </c>
      <c r="B27" s="6">
        <v>393.05</v>
      </c>
      <c r="C27" s="6">
        <v>88.02</v>
      </c>
      <c r="M27" s="4">
        <v>46126</v>
      </c>
      <c r="N27" s="9">
        <v>17.28</v>
      </c>
      <c r="X27" s="4">
        <v>46136</v>
      </c>
      <c r="Y27" s="6">
        <v>12737.000000000002</v>
      </c>
    </row>
    <row r="28" spans="1:30" x14ac:dyDescent="0.3">
      <c r="A28" s="4">
        <v>46137</v>
      </c>
      <c r="B28" s="6">
        <v>493.08999999999992</v>
      </c>
      <c r="C28" s="6">
        <v>83.7</v>
      </c>
      <c r="M28" s="4">
        <v>46127</v>
      </c>
      <c r="N28" s="9">
        <v>8.15</v>
      </c>
      <c r="X28" s="4">
        <v>46137</v>
      </c>
      <c r="Y28" s="6">
        <v>13064.500000000002</v>
      </c>
    </row>
    <row r="29" spans="1:30" x14ac:dyDescent="0.3">
      <c r="A29" s="4">
        <v>46138</v>
      </c>
      <c r="B29" s="6">
        <v>951.38999999999987</v>
      </c>
      <c r="C29" s="6">
        <v>47.78</v>
      </c>
      <c r="M29" s="4">
        <v>46129</v>
      </c>
      <c r="N29" s="9">
        <v>3.07</v>
      </c>
      <c r="X29" s="4">
        <v>46138</v>
      </c>
      <c r="Y29" s="6">
        <v>13804.890000000001</v>
      </c>
    </row>
    <row r="30" spans="1:30" x14ac:dyDescent="0.3">
      <c r="A30" s="4">
        <v>46139</v>
      </c>
      <c r="B30" s="6">
        <v>492.12</v>
      </c>
      <c r="C30" s="6">
        <v>25.52</v>
      </c>
      <c r="M30" s="4">
        <v>46130</v>
      </c>
      <c r="N30" s="9">
        <v>11.95</v>
      </c>
      <c r="X30" s="4">
        <v>46139</v>
      </c>
      <c r="Y30" s="6">
        <v>14223.170000000002</v>
      </c>
    </row>
    <row r="31" spans="1:30" x14ac:dyDescent="0.3">
      <c r="A31" s="4">
        <v>46140</v>
      </c>
      <c r="B31" s="6">
        <v>518.72</v>
      </c>
      <c r="C31" s="6">
        <v>21.01</v>
      </c>
      <c r="M31" s="4">
        <v>46131</v>
      </c>
      <c r="N31" s="9">
        <v>18.23</v>
      </c>
      <c r="X31" s="4">
        <v>46140</v>
      </c>
      <c r="Y31" s="6">
        <v>14647.500000000002</v>
      </c>
    </row>
    <row r="32" spans="1:30" x14ac:dyDescent="0.3">
      <c r="A32" s="4">
        <v>46141</v>
      </c>
      <c r="B32" s="6">
        <v>913.39</v>
      </c>
      <c r="C32" s="6">
        <v>28.44</v>
      </c>
      <c r="M32" s="4">
        <v>46132</v>
      </c>
      <c r="N32" s="9">
        <v>5.01</v>
      </c>
      <c r="X32" s="4">
        <v>46141</v>
      </c>
      <c r="Y32" s="6">
        <v>15342.470000000001</v>
      </c>
    </row>
    <row r="33" spans="1:25" x14ac:dyDescent="0.3">
      <c r="A33" s="4">
        <v>46142</v>
      </c>
      <c r="B33" s="6">
        <v>182.28</v>
      </c>
      <c r="C33" s="6">
        <v>76.58</v>
      </c>
      <c r="M33" s="4">
        <v>46133</v>
      </c>
      <c r="N33" s="9">
        <v>9.68</v>
      </c>
      <c r="X33" s="4">
        <v>46142</v>
      </c>
      <c r="Y33" s="6">
        <v>15433.300000000001</v>
      </c>
    </row>
    <row r="34" spans="1:25" x14ac:dyDescent="0.3">
      <c r="A34" s="3" t="s">
        <v>149</v>
      </c>
      <c r="B34" s="6">
        <v>5100.7100000000009</v>
      </c>
      <c r="C34" s="6">
        <v>888.18999999999994</v>
      </c>
      <c r="M34" s="4">
        <v>46134</v>
      </c>
      <c r="N34" s="9">
        <v>7.56</v>
      </c>
      <c r="X34" s="3" t="s">
        <v>128</v>
      </c>
      <c r="Y34" s="6"/>
    </row>
    <row r="35" spans="1:25" x14ac:dyDescent="0.3">
      <c r="A35" s="4">
        <v>46145</v>
      </c>
      <c r="B35" s="6">
        <v>641.46</v>
      </c>
      <c r="C35" s="6">
        <v>83.41</v>
      </c>
      <c r="M35" s="4">
        <v>46135</v>
      </c>
      <c r="N35" s="9">
        <v>28.45</v>
      </c>
    </row>
    <row r="36" spans="1:25" x14ac:dyDescent="0.3">
      <c r="A36" s="4">
        <v>46147</v>
      </c>
      <c r="B36" s="6">
        <v>430.6</v>
      </c>
      <c r="C36" s="6">
        <v>85.79</v>
      </c>
      <c r="M36" s="4">
        <v>46136</v>
      </c>
      <c r="N36" s="9">
        <v>4.47</v>
      </c>
    </row>
    <row r="37" spans="1:25" x14ac:dyDescent="0.3">
      <c r="A37" s="4">
        <v>46148</v>
      </c>
      <c r="B37" s="6">
        <v>43.29</v>
      </c>
      <c r="C37" s="6">
        <v>32.18</v>
      </c>
      <c r="M37" s="4">
        <v>46137</v>
      </c>
      <c r="N37" s="9">
        <v>5.89</v>
      </c>
    </row>
    <row r="38" spans="1:25" x14ac:dyDescent="0.3">
      <c r="A38" s="4">
        <v>46149</v>
      </c>
      <c r="B38" s="6">
        <v>587.65</v>
      </c>
      <c r="C38" s="6">
        <v>88</v>
      </c>
      <c r="M38" s="4">
        <v>46138</v>
      </c>
      <c r="N38" s="9">
        <v>19.91</v>
      </c>
    </row>
    <row r="39" spans="1:25" x14ac:dyDescent="0.3">
      <c r="A39" s="4">
        <v>46150</v>
      </c>
      <c r="B39" s="6">
        <v>336.61</v>
      </c>
      <c r="C39" s="6">
        <v>95.75</v>
      </c>
      <c r="M39" s="4">
        <v>46139</v>
      </c>
      <c r="N39" s="9">
        <v>19.28</v>
      </c>
    </row>
    <row r="40" spans="1:25" x14ac:dyDescent="0.3">
      <c r="A40" s="4">
        <v>46151</v>
      </c>
      <c r="B40" s="6">
        <v>325.44</v>
      </c>
      <c r="C40" s="6">
        <v>57.52</v>
      </c>
      <c r="M40" s="4">
        <v>46140</v>
      </c>
      <c r="N40" s="9">
        <v>24.69</v>
      </c>
    </row>
    <row r="41" spans="1:25" x14ac:dyDescent="0.3">
      <c r="A41" s="4">
        <v>46155</v>
      </c>
      <c r="B41" s="6">
        <v>768.81999999999994</v>
      </c>
      <c r="C41" s="6">
        <v>41.55</v>
      </c>
      <c r="M41" s="4">
        <v>46141</v>
      </c>
      <c r="N41" s="9">
        <v>32.119999999999997</v>
      </c>
    </row>
    <row r="42" spans="1:25" x14ac:dyDescent="0.3">
      <c r="A42" s="4">
        <v>46156</v>
      </c>
      <c r="B42" s="6">
        <v>569.15</v>
      </c>
      <c r="C42" s="6">
        <v>36.299999999999997</v>
      </c>
      <c r="M42" s="4">
        <v>46142</v>
      </c>
      <c r="N42" s="9">
        <v>2.38</v>
      </c>
    </row>
    <row r="43" spans="1:25" x14ac:dyDescent="0.3">
      <c r="A43" s="4">
        <v>46158</v>
      </c>
      <c r="B43" s="6">
        <v>99.84</v>
      </c>
      <c r="C43" s="6">
        <v>56.97</v>
      </c>
      <c r="M43" s="3" t="s">
        <v>128</v>
      </c>
      <c r="N43" s="9">
        <v>14.303448275862069</v>
      </c>
    </row>
    <row r="44" spans="1:25" x14ac:dyDescent="0.3">
      <c r="A44" s="4">
        <v>46159</v>
      </c>
      <c r="B44" s="6">
        <v>242.55</v>
      </c>
      <c r="C44" s="6">
        <v>98.14</v>
      </c>
    </row>
    <row r="45" spans="1:25" x14ac:dyDescent="0.3">
      <c r="A45" s="4">
        <v>46160</v>
      </c>
      <c r="B45" s="6">
        <v>105.08</v>
      </c>
      <c r="C45" s="6">
        <v>37.270000000000003</v>
      </c>
    </row>
    <row r="46" spans="1:25" x14ac:dyDescent="0.3">
      <c r="A46" s="4">
        <v>46161</v>
      </c>
      <c r="B46" s="6">
        <v>48.51</v>
      </c>
      <c r="C46" s="6">
        <v>79.8</v>
      </c>
    </row>
    <row r="47" spans="1:25" x14ac:dyDescent="0.3">
      <c r="A47" s="4">
        <v>46162</v>
      </c>
      <c r="B47" s="6">
        <v>901.71</v>
      </c>
      <c r="C47" s="6">
        <v>95.51</v>
      </c>
    </row>
    <row r="48" spans="1:25" x14ac:dyDescent="0.3">
      <c r="A48" s="3" t="s">
        <v>128</v>
      </c>
      <c r="B48" s="6">
        <v>25772.949999999993</v>
      </c>
      <c r="C48" s="6">
        <v>2661.2200000000003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86CA00-EA1C-4261-9AB2-DAD4FEAA2A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Merge3</vt:lpstr>
      <vt:lpstr>Net Profit</vt:lpstr>
      <vt:lpstr>Gross Profit</vt:lpstr>
      <vt:lpstr>DashBoard</vt:lpstr>
      <vt:lpstr>Dashboard_Data</vt:lpstr>
      <vt:lpstr>Average_of_ROAS</vt:lpstr>
      <vt:lpstr>Row_Labels</vt:lpstr>
      <vt:lpstr>Sum_of_Net_Profit_Per_Day</vt:lpstr>
      <vt:lpstr>Sum_of_Spend</vt:lpstr>
      <vt:lpstr>Sum_of_Total_Revenue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Singh Rawat</dc:creator>
  <cp:lastModifiedBy>Abhishek Singh Rawat</cp:lastModifiedBy>
  <dcterms:created xsi:type="dcterms:W3CDTF">2026-05-04T14:01:55Z</dcterms:created>
  <dcterms:modified xsi:type="dcterms:W3CDTF">2026-07-20T11:11:46Z</dcterms:modified>
</cp:coreProperties>
</file>